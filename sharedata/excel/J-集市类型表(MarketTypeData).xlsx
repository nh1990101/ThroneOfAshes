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策划文档\配置表\"/>
    </mc:Choice>
  </mc:AlternateContent>
  <bookViews>
    <workbookView windowWidth="28800" windowHeight="12255" activeTab="2"/>
  </bookViews>
  <sheets>
    <sheet name="集市类型表(MarketTypeData)" sheetId="1" r:id="rId1"/>
    <sheet name="集市商品栏位表(MarketSlotData)" sheetId="2" r:id="rId2"/>
    <sheet name="集市商品表(MarketGoodsData)" sheetId="3" r:id="rId3"/>
    <sheet name="#首版待配置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<sst xmlns="http://schemas.openxmlformats.org/spreadsheetml/2006/main" count="165" uniqueCount="114">
  <si>
    <t>每周期免费刷新固定1次，refresh_cost仅填付费档位，不含免费0。</t>
  </si>
  <si>
    <t>自动刷新：0不自动；1每日；2每周；3每月；4活动；≥5为周期秒数。</t>
  </si>
  <si>
    <t>集市类型表</t>
  </si>
  <si>
    <t>类型ID</t>
  </si>
  <si>
    <t>中文检索键</t>
  </si>
  <si>
    <t>分页名称</t>
  </si>
  <si>
    <t>分页图标</t>
  </si>
  <si>
    <t>解锁条件</t>
  </si>
  <si>
    <t>自动刷新周期</t>
  </si>
  <si>
    <t>刷新消耗道具</t>
  </si>
  <si>
    <t>付费刷新费用列表</t>
  </si>
  <si>
    <t>是否使用建筑减免</t>
  </si>
  <si>
    <t>分页排序</t>
  </si>
  <si>
    <t>MarketTypeData</t>
  </si>
  <si>
    <t>id</t>
  </si>
  <si>
    <t>ch_key</t>
  </si>
  <si>
    <t>name</t>
  </si>
  <si>
    <t>icon</t>
  </si>
  <si>
    <t>feature_id</t>
  </si>
  <si>
    <t>auto_refresh</t>
  </si>
  <si>
    <t>refresh_item</t>
  </si>
  <si>
    <t>refresh_cost</t>
  </si>
  <si>
    <t>use_building_discount</t>
  </si>
  <si>
    <t>sort</t>
  </si>
  <si>
    <t>类型</t>
  </si>
  <si>
    <t>string</t>
  </si>
  <si>
    <t>lang</t>
  </si>
  <si>
    <t>int</t>
  </si>
  <si>
    <t>int_list</t>
  </si>
  <si>
    <t>bool</t>
  </si>
  <si>
    <t>逻辑检查</t>
  </si>
  <si>
    <t>$key</t>
  </si>
  <si>
    <t>uniq</t>
  </si>
  <si>
    <t>ref(IconData)</t>
  </si>
  <si>
    <t>ref(FeatureData)</t>
  </si>
  <si>
    <t>ref(ItemData)</t>
  </si>
  <si>
    <t>每日商店</t>
  </si>
  <si>
    <t>钻石</t>
  </si>
  <si>
    <t>50//100//200//500</t>
  </si>
  <si>
    <t>资源商店</t>
  </si>
  <si>
    <t>装备商店</t>
  </si>
  <si>
    <t>集市商品栏位表</t>
  </si>
  <si>
    <t>栏位ID</t>
  </si>
  <si>
    <t>所属集市类型</t>
  </si>
  <si>
    <t>引用商品池</t>
  </si>
  <si>
    <t>栏位解锁功能</t>
  </si>
  <si>
    <t>栏位解锁等级</t>
  </si>
  <si>
    <t>栏位排序</t>
  </si>
  <si>
    <t>是否关闭</t>
  </si>
  <si>
    <t>MarketSlotData</t>
  </si>
  <si>
    <t>market_type_id</t>
  </si>
  <si>
    <t>goods_group</t>
  </si>
  <si>
    <t>unlock_level</t>
  </si>
  <si>
    <t>is_close</t>
  </si>
  <si>
    <t>ref(MarketTypeData)</t>
  </si>
  <si>
    <t>ref_group(MarketGoodsData)</t>
  </si>
  <si>
    <t>ref(BuildLevelData)</t>
  </si>
  <si>
    <t>集市商品表</t>
  </si>
  <si>
    <t>商品ID</t>
  </si>
  <si>
    <t>组id</t>
  </si>
  <si>
    <t>中文索引</t>
  </si>
  <si>
    <t>组索引</t>
  </si>
  <si>
    <t>候选生效等级</t>
  </si>
  <si>
    <t>单份商品内容</t>
  </si>
  <si>
    <t>购买消耗道具</t>
  </si>
  <si>
    <t>基础价格</t>
  </si>
  <si>
    <t>商品价格系数</t>
  </si>
  <si>
    <t>本轮限购份数</t>
  </si>
  <si>
    <t>抽取权重</t>
  </si>
  <si>
    <t>是否免费</t>
  </si>
  <si>
    <t>MarketGoodsData</t>
  </si>
  <si>
    <t>group_id</t>
  </si>
  <si>
    <t>group_key</t>
  </si>
  <si>
    <t>market_level</t>
  </si>
  <si>
    <t>sell_item</t>
  </si>
  <si>
    <t>cost_item</t>
  </si>
  <si>
    <t>base_price</t>
  </si>
  <si>
    <t>price_rate</t>
  </si>
  <si>
    <t>limit_times</t>
  </si>
  <si>
    <t>weight</t>
  </si>
  <si>
    <t>is_free</t>
  </si>
  <si>
    <t>string_list</t>
  </si>
  <si>
    <t>float</t>
  </si>
  <si>
    <t>ref_count(ItemData)</t>
  </si>
  <si>
    <t>首版集市待配置清单（本页不参与导表）</t>
  </si>
  <si>
    <t>维护位置</t>
  </si>
  <si>
    <t>已确认范围</t>
  </si>
  <si>
    <t>需要配置的内容</t>
  </si>
  <si>
    <t>填写边界</t>
  </si>
  <si>
    <t>每日商店、资源商店；每日排第一</t>
  </si>
  <si>
    <t>正式记录、图标、入口条件、刷新周期、刷新消耗及费用、建筑减免开关</t>
  </si>
  <si>
    <t>原测试ID与值保存在#原测试配置；未知值不按0或FALSE处理</t>
  </si>
  <si>
    <t>分页下的固定栏位</t>
  </si>
  <si>
    <t>栏位数量及ID、商品池、排序、功能/集市等级条件</t>
  </si>
  <si>
    <t>同sort按字符串ID排序；不预设商品格数</t>
  </si>
  <si>
    <t>每行一个商品候选</t>
  </si>
  <si>
    <t>group_id/group_key、所属分页、商品及数量、单一货币、价格、折扣、限购、权重</t>
  </si>
  <si>
    <t>组内归属一致；组键仅首行；商品与货币引用有效ItemData</t>
  </si>
  <si>
    <t>FeatureData</t>
  </si>
  <si>
    <t>入口与每日商店共用；资源页单独解锁</t>
  </si>
  <si>
    <t>每日商店/资源商店正式功能记录、门槛与提示</t>
  </si>
  <si>
    <t>见功能解锁簿#集市待配置，不另设重复入口条件</t>
  </si>
  <si>
    <t>BuildLevelData</t>
  </si>
  <si>
    <t>集市建筑、候选门槛、购买减免</t>
  </si>
  <si>
    <t>首级建造及后续等级的条件、费用、时间、产出、减免率</t>
  </si>
  <si>
    <t>见建筑簿#集市待配置；不复制其他建筑或旧项目数值</t>
  </si>
  <si>
    <t>ItemData / IconData</t>
  </si>
  <si>
    <t>商品、货币、分页图标</t>
  </si>
  <si>
    <t>确定商品清单后登记本项目真实物品和资源</t>
  </si>
  <si>
    <t>公共表尚待完善；不得复用旧项目资源ID假装已配齐</t>
  </si>
  <si>
    <t>ParamData</t>
  </si>
  <si>
    <t>market_min_price=1</t>
  </si>
  <si>
    <t>无新增参数</t>
  </si>
  <si>
    <t>沿用单份先向上取整、最低1，再乘份数；免费商品不使用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</si>
</sst>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name val="微软雅黑"/>
      <charset val="134"/>
    </font>
    <font>
      <b/>
      <sz val="11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微软雅黑"/>
      <charset val="134"/>
    </font>
    <font>
      <sz val="12"/>
      <name val="宋体"/>
      <charset val="134"/>
    </font>
    <font>
      <sz val="11"/>
      <name val="微软雅黑"/>
      <charset val="134"/>
      <b/>
      <color rgb="FFFF0000"/>
    </font>
  </fonts>
  <fills count="34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0" fillId="0" borderId="0"/>
    <xf numFmtId="0" fontId="23" fillId="0" borderId="0">
      <alignment vertical="center"/>
    </xf>
    <xf numFmtId="49" fontId="0" fillId="0" borderId="1" applyFill="0">
      <alignment horizontal="center" vertical="center" shrinkToFit="1"/>
    </xf>
    <xf numFmtId="0" fontId="24" fillId="0" borderId="0"/>
  </cellStyleXfs>
  <cellXfs count="9">
    <xf numFmtId="0" fontId="0" fillId="0" borderId="0" xfId="49" applyAlignment="1">
      <alignment horizontal="center" vertical="center"/>
    </xf>
    <xf numFmtId="0" fontId="0" fillId="0" borderId="0" xfId="49" applyFont="1" applyAlignment="1">
      <alignment horizontal="left" vertical="center" wrapText="1"/>
    </xf>
    <xf numFmtId="0" fontId="1" fillId="2" borderId="1" xfId="49" applyNumberFormat="1" applyFont="1" applyFill="1" applyBorder="1" applyAlignment="1">
      <alignment horizontal="center" vertical="center"/>
    </xf>
    <xf numFmtId="0" fontId="0" fillId="2" borderId="1" xfId="49" applyFont="1" applyFill="1" applyBorder="1" applyAlignment="1">
      <alignment horizontal="center" vertical="center"/>
    </xf>
    <xf numFmtId="0" fontId="0" fillId="0" borderId="0" xfId="49" applyAlignment="1">
      <alignment vertical="center"/>
    </xf>
    <xf numFmtId="0" fontId="2" fillId="2" borderId="1" xfId="49" applyNumberFormat="1" applyFont="1" applyFill="1" applyBorder="1" applyAlignment="1">
      <alignment horizontal="center" vertical="center"/>
    </xf>
    <xf numFmtId="0" fontId="0" fillId="0" borderId="0" xfId="49" applyFont="1" applyAlignment="1">
      <alignment horizontal="center" vertical="center"/>
    </xf>
    <xf numFmtId="0" fontId="25" fillId="0" borderId="0" xfId="49" applyFont="1" applyAlignment="1">
      <alignment horizontal="center" vertical="center"/>
    </xf>
    <xf numFmtId="0" fontId="25" fillId="0" borderId="0" xfId="49" applyFont="1" applyAlignment="1">
      <alignment horizontal="center" vertical="center" wrapText="1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  <cellStyle name="常规 4" xfId="50"/>
    <cellStyle name="1表头" xfId="51"/>
    <cellStyle name="常规 3" xf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I17" sqref="I17"/>
    </sheetView>
  </sheetViews>
  <sheetFormatPr defaultColWidth="9" defaultRowHeight="16.5"/>
  <cols>
    <col min="1" max="1" width="15.2222222222222" style="6" customWidth="1"/>
    <col min="2" max="2" width="6.44444444444444" style="6" customWidth="1"/>
    <col min="3" max="3" width="9.55555555555556" style="6" customWidth="1"/>
    <col min="4" max="4" width="14.2222222222222" style="6" customWidth="1"/>
    <col min="5" max="5" width="11.8888888888889" style="6" customWidth="1"/>
    <col min="6" max="6" width="14.7777777777778" style="6" customWidth="1"/>
    <col min="7" max="7" width="16.7777777777778" style="6" customWidth="1"/>
    <col min="8" max="8" width="12.1111111111111" style="6" customWidth="1"/>
    <col min="9" max="9" width="16.8888888888889" style="6" customWidth="1"/>
    <col min="10" max="10" width="20.2222222222222" style="6" customWidth="1"/>
    <col min="11" max="11" width="7.88888888888889" style="6" customWidth="1"/>
    <col min="12" max="16383" width="9" style="6" customWidth="1"/>
    <col min="16384" max="16384" width="9" style="6"/>
  </cols>
  <sheetData>
    <row r="1" spans="1:11">
      <c r="G1" s="6" t="s">
        <v>0</v>
      </c>
    </row>
    <row r="2" spans="1:11">
      <c r="G2" s="6" t="s">
        <v>1</v>
      </c>
    </row>
    <row r="3" s="3" customFormat="1" spans="1:1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</row>
    <row r="4" s="3" customFormat="1" spans="1:11">
      <c r="A4" s="5" t="s">
        <v>13</v>
      </c>
      <c r="B4" s="5" t="s">
        <v>14</v>
      </c>
      <c r="C4" s="5" t="s">
        <v>15</v>
      </c>
      <c r="D4" s="5" t="s">
        <v>16</v>
      </c>
      <c r="E4" s="5" t="s">
        <v>17</v>
      </c>
      <c r="F4" s="5" t="s">
        <v>18</v>
      </c>
      <c r="G4" s="5" t="s">
        <v>19</v>
      </c>
      <c r="H4" s="5" t="s">
        <v>20</v>
      </c>
      <c r="I4" s="5" t="s">
        <v>21</v>
      </c>
      <c r="J4" s="5" t="s">
        <v>22</v>
      </c>
      <c r="K4" s="5" t="s">
        <v>23</v>
      </c>
    </row>
    <row r="5" s="3" customFormat="1" spans="1:11">
      <c r="A5" s="5" t="s">
        <v>24</v>
      </c>
      <c r="B5" s="5" t="s">
        <v>25</v>
      </c>
      <c r="C5" s="5" t="s">
        <v>25</v>
      </c>
      <c r="D5" s="5" t="s">
        <v>26</v>
      </c>
      <c r="E5" s="5" t="s">
        <v>25</v>
      </c>
      <c r="F5" s="5" t="s">
        <v>25</v>
      </c>
      <c r="G5" s="5" t="s">
        <v>27</v>
      </c>
      <c r="H5" s="5" t="s">
        <v>25</v>
      </c>
      <c r="I5" s="5" t="s">
        <v>28</v>
      </c>
      <c r="J5" s="5" t="s">
        <v>29</v>
      </c>
      <c r="K5" s="5" t="s">
        <v>27</v>
      </c>
    </row>
    <row r="6" s="3" customFormat="1" spans="1:11">
      <c r="A6" s="5" t="s">
        <v>30</v>
      </c>
      <c r="B6" s="5" t="s">
        <v>31</v>
      </c>
      <c r="C6" s="5" t="s">
        <v>32</v>
      </c>
      <c r="D6" s="5"/>
      <c r="E6" s="5" t="s">
        <v>33</v>
      </c>
      <c r="F6" s="5" t="s">
        <v>34</v>
      </c>
      <c r="G6" s="5"/>
      <c r="H6" s="5" t="s">
        <v>35</v>
      </c>
      <c r="I6" s="5"/>
      <c r="J6" s="5"/>
      <c r="K6" s="5" t="s">
        <v>32</v>
      </c>
    </row>
    <row r="7" spans="1:11" ht="33.0" customHeight="1">
      <c r="A7"/>
      <c r="B7" s="7">
        <v>1</v>
      </c>
      <c r="C7" s="8" t="s">
        <v>36</v>
      </c>
      <c r="D7" s="8" t="str">
        <f>"$Lang$"&amp;C7</f>
        <v>$Lang$每日商店</v>
      </c>
      <c r="E7" t="str" s="8">
        <v>商店图标_每日商店</v>
      </c>
      <c r="F7" t="str" s="7">
        <v>每日商店</v>
      </c>
      <c r="G7" t="n" s="7">
        <v>1</v>
      </c>
      <c r="H7" s="7" t="s">
        <v>37</v>
      </c>
      <c r="I7" s="8" t="s">
        <v>38</v>
      </c>
      <c r="J7" t="b" s="7">
        <v>1</v>
      </c>
      <c r="K7" s="7">
        <v>1</v>
      </c>
    </row>
    <row r="8" spans="1:11" ht="33.0" customHeight="1">
      <c r="A8"/>
      <c r="B8" s="7">
        <v>2</v>
      </c>
      <c r="C8" s="8" t="s">
        <v>39</v>
      </c>
      <c r="D8" s="8" t="str">
        <f>"$Lang$"&amp;C8</f>
        <v>$Lang$资源商店</v>
      </c>
      <c r="E8" t="str" s="8">
        <v>商店图标_资源商店</v>
      </c>
      <c r="F8" t="str" s="7">
        <v>资源商店</v>
      </c>
      <c r="G8" t="n" s="7">
        <v>1</v>
      </c>
      <c r="H8" s="7" t="s">
        <v>37</v>
      </c>
      <c r="I8" s="8" t="s">
        <v>38</v>
      </c>
      <c r="J8" t="b" s="7">
        <v>1</v>
      </c>
      <c r="K8" s="7">
        <v>2</v>
      </c>
    </row>
    <row r="9" spans="1:11" ht="33.0" customHeight="1">
      <c r="A9"/>
      <c r="B9" s="7">
        <v>3</v>
      </c>
      <c r="C9" s="8" t="s">
        <v>40</v>
      </c>
      <c r="D9" s="8" t="str">
        <f>"$Lang$"&amp;C9</f>
        <v>$Lang$装备商店</v>
      </c>
      <c r="E9"/>
      <c r="F9"/>
      <c r="H9" s="7" t="s">
        <v>37</v>
      </c>
      <c r="I9" s="8" t="s">
        <v>38</v>
      </c>
      <c r="J9" t="b" s="7">
        <v>1</v>
      </c>
      <c r="K9" s="7">
        <v>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J12" sqref="J12"/>
    </sheetView>
  </sheetViews>
  <sheetFormatPr defaultColWidth="9" defaultRowHeight="16.5" outlineLevelRow="5" outlineLevelCol="7"/>
  <cols>
    <col min="1" max="1" width="14.3333333333333" style="6" customWidth="1"/>
    <col min="2" max="2" width="6.44444444444444" style="6" customWidth="1"/>
    <col min="3" max="3" width="18.8888888888889" style="6" customWidth="1"/>
    <col min="4" max="4" width="26.6666666666667" style="6" customWidth="1"/>
    <col min="5" max="5" width="14.7777777777778" style="6" customWidth="1"/>
    <col min="6" max="6" width="17.1111111111111" style="6" customWidth="1"/>
    <col min="7" max="8" width="7.88888888888889" style="6" customWidth="1"/>
    <col min="9" max="16382" width="9" style="6" customWidth="1"/>
    <col min="16383" max="16384" width="9" style="6"/>
  </cols>
  <sheetData>
    <row r="1" spans="1:8">
      <c r="A1" s="4"/>
      <c r="B1" s="4"/>
      <c r="C1" s="4"/>
      <c r="D1" s="4"/>
      <c r="E1" s="4"/>
      <c r="F1" s="4"/>
      <c r="G1" s="4"/>
      <c r="H1" s="4"/>
    </row>
    <row r="2" spans="1:8">
      <c r="A2" s="4"/>
      <c r="B2" s="4"/>
      <c r="C2" s="4"/>
      <c r="D2" s="4"/>
      <c r="E2" s="4"/>
      <c r="F2" s="4"/>
      <c r="G2" s="4"/>
      <c r="H2" s="4"/>
    </row>
    <row r="3" s="3" customFormat="1" spans="1:8">
      <c r="A3" s="2" t="s">
        <v>41</v>
      </c>
      <c r="B3" s="2" t="s">
        <v>42</v>
      </c>
      <c r="C3" s="2" t="s">
        <v>43</v>
      </c>
      <c r="D3" s="2" t="s">
        <v>44</v>
      </c>
      <c r="E3" s="2" t="s">
        <v>45</v>
      </c>
      <c r="F3" s="2" t="s">
        <v>46</v>
      </c>
      <c r="G3" s="2" t="s">
        <v>47</v>
      </c>
      <c r="H3" s="2" t="s">
        <v>48</v>
      </c>
    </row>
    <row r="4" s="3" customFormat="1" spans="1:8">
      <c r="A4" s="5" t="s">
        <v>49</v>
      </c>
      <c r="B4" s="5" t="s">
        <v>14</v>
      </c>
      <c r="C4" s="5" t="s">
        <v>50</v>
      </c>
      <c r="D4" s="5" t="s">
        <v>51</v>
      </c>
      <c r="E4" s="5" t="s">
        <v>18</v>
      </c>
      <c r="F4" s="5" t="s">
        <v>52</v>
      </c>
      <c r="G4" s="5" t="s">
        <v>23</v>
      </c>
      <c r="H4" s="5" t="s">
        <v>53</v>
      </c>
    </row>
    <row r="5" s="3" customFormat="1" spans="1:8">
      <c r="A5" s="5" t="s">
        <v>24</v>
      </c>
      <c r="B5" s="5" t="s">
        <v>25</v>
      </c>
      <c r="C5" s="5" t="s">
        <v>25</v>
      </c>
      <c r="D5" s="5" t="s">
        <v>25</v>
      </c>
      <c r="E5" s="5" t="s">
        <v>25</v>
      </c>
      <c r="F5" s="5" t="s">
        <v>25</v>
      </c>
      <c r="G5" s="5" t="s">
        <v>27</v>
      </c>
      <c r="H5" s="5" t="s">
        <v>29</v>
      </c>
    </row>
    <row r="6" s="3" customFormat="1" spans="1:8">
      <c r="A6" s="5" t="s">
        <v>30</v>
      </c>
      <c r="B6" s="5" t="s">
        <v>31</v>
      </c>
      <c r="C6" s="5" t="s">
        <v>54</v>
      </c>
      <c r="D6" s="5" t="s">
        <v>55</v>
      </c>
      <c r="E6" s="5" t="s">
        <v>34</v>
      </c>
      <c r="F6" s="5" t="s">
        <v>56</v>
      </c>
      <c r="G6" s="5"/>
      <c r="H6" s="5"/>
    </row>
    <row r="7" ht="49.5" customHeight="1">
      <c r="B7" t="str" s="8">
        <v>临时栏位_1001</v>
      </c>
      <c r="C7" t="str" s="7">
        <v>每日商店</v>
      </c>
      <c r="D7" t="str" s="7">
        <v>临时每日经验池</v>
      </c>
      <c r="G7" t="n" s="7">
        <v>1</v>
      </c>
      <c r="H7" t="b" s="7">
        <v>0</v>
      </c>
    </row>
    <row r="8" ht="49.5" customHeight="1">
      <c r="B8" t="str" s="8">
        <v>临时栏位_1002</v>
      </c>
      <c r="C8" t="str" s="7">
        <v>每日商店</v>
      </c>
      <c r="D8" t="str" s="7">
        <v>临时每日材料池</v>
      </c>
      <c r="G8" t="n" s="7">
        <v>2</v>
      </c>
      <c r="H8" t="b" s="7">
        <v>0</v>
      </c>
    </row>
    <row r="9" ht="49.5" customHeight="1">
      <c r="B9" t="str" s="8">
        <v>临时栏位_2001</v>
      </c>
      <c r="C9" t="str" s="7">
        <v>资源商店</v>
      </c>
      <c r="D9" t="str" s="7">
        <v>临时资源木材池</v>
      </c>
      <c r="G9" t="n" s="7">
        <v>1</v>
      </c>
      <c r="H9" t="b" s="7">
        <v>0</v>
      </c>
    </row>
    <row r="10" ht="49.5" customHeight="1">
      <c r="B10" t="str" s="8">
        <v>临时栏位_2002</v>
      </c>
      <c r="C10" t="str" s="7">
        <v>资源商店</v>
      </c>
      <c r="D10" t="str" s="7">
        <v>临时资源矿石池</v>
      </c>
      <c r="G10" t="n" s="7">
        <v>2</v>
      </c>
      <c r="H10" t="b" s="7">
        <v>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"/>
  <sheetViews>
    <sheetView tabSelected="1" workbookViewId="0">
      <selection activeCell="H7" sqref="H7"/>
    </sheetView>
  </sheetViews>
  <sheetFormatPr defaultColWidth="9" defaultRowHeight="16.5" outlineLevelRow="5"/>
  <cols>
    <col min="1" max="1" width="16.6666666666667" customWidth="1"/>
    <col min="2" max="2" width="6.44444444444444" customWidth="1"/>
    <col min="3" max="3" width="8.55555555555556" customWidth="1"/>
    <col min="4" max="4" width="14" customWidth="1"/>
    <col min="5" max="5" width="9.77777777777778" customWidth="1"/>
    <col min="6" max="6" width="18.8888888888889" customWidth="1"/>
    <col min="7" max="7" width="17.1111111111111" customWidth="1"/>
    <col min="8" max="8" width="18.1111111111111" customWidth="1"/>
    <col min="9" max="9" width="12.1111111111111" customWidth="1"/>
    <col min="10" max="10" width="9.88888888888889" customWidth="1"/>
    <col min="11" max="12" width="11.3333333333333" customWidth="1"/>
    <col min="13" max="15" width="7.88888888888889" customWidth="1"/>
  </cols>
  <sheetData>
    <row r="1" spans="1:15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spans="1:1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 s="3" customFormat="1" spans="1:15">
      <c r="A3" s="2" t="s">
        <v>57</v>
      </c>
      <c r="B3" s="2" t="s">
        <v>58</v>
      </c>
      <c r="C3" s="2" t="s">
        <v>59</v>
      </c>
      <c r="D3" s="2" t="s">
        <v>60</v>
      </c>
      <c r="E3" s="2" t="s">
        <v>61</v>
      </c>
      <c r="F3" s="2" t="s">
        <v>43</v>
      </c>
      <c r="G3" s="2" t="s">
        <v>62</v>
      </c>
      <c r="H3" s="2" t="s">
        <v>63</v>
      </c>
      <c r="I3" s="2" t="s">
        <v>64</v>
      </c>
      <c r="J3" s="2" t="s">
        <v>65</v>
      </c>
      <c r="K3" s="2" t="s">
        <v>66</v>
      </c>
      <c r="L3" s="2" t="s">
        <v>67</v>
      </c>
      <c r="M3" s="2" t="s">
        <v>68</v>
      </c>
      <c r="N3" s="2" t="s">
        <v>48</v>
      </c>
      <c r="O3" s="2" t="s">
        <v>69</v>
      </c>
    </row>
    <row r="4" s="3" customFormat="1" spans="1:15">
      <c r="A4" s="5" t="s">
        <v>70</v>
      </c>
      <c r="B4" s="5" t="s">
        <v>14</v>
      </c>
      <c r="C4" s="5" t="s">
        <v>71</v>
      </c>
      <c r="D4" s="5" t="s">
        <v>15</v>
      </c>
      <c r="E4" s="5" t="s">
        <v>72</v>
      </c>
      <c r="F4" s="5" t="s">
        <v>50</v>
      </c>
      <c r="G4" s="5" t="s">
        <v>73</v>
      </c>
      <c r="H4" s="5" t="s">
        <v>74</v>
      </c>
      <c r="I4" s="5" t="s">
        <v>75</v>
      </c>
      <c r="J4" s="5" t="s">
        <v>76</v>
      </c>
      <c r="K4" s="5" t="s">
        <v>77</v>
      </c>
      <c r="L4" s="5" t="s">
        <v>78</v>
      </c>
      <c r="M4" s="5" t="s">
        <v>79</v>
      </c>
      <c r="N4" s="5" t="s">
        <v>53</v>
      </c>
      <c r="O4" s="5" t="s">
        <v>80</v>
      </c>
    </row>
    <row r="5" s="3" customFormat="1" spans="1:15">
      <c r="A5" s="5" t="s">
        <v>24</v>
      </c>
      <c r="B5" s="5" t="s">
        <v>25</v>
      </c>
      <c r="C5" s="5" t="s">
        <v>27</v>
      </c>
      <c r="D5" s="5" t="s">
        <v>25</v>
      </c>
      <c r="E5" s="5" t="s">
        <v>25</v>
      </c>
      <c r="F5" s="5" t="s">
        <v>25</v>
      </c>
      <c r="G5" s="5" t="s">
        <v>25</v>
      </c>
      <c r="H5" s="5" t="s">
        <v>81</v>
      </c>
      <c r="I5" s="5" t="s">
        <v>25</v>
      </c>
      <c r="J5" s="5" t="s">
        <v>27</v>
      </c>
      <c r="K5" s="5" t="s">
        <v>82</v>
      </c>
      <c r="L5" s="5" t="s">
        <v>27</v>
      </c>
      <c r="M5" s="5" t="s">
        <v>27</v>
      </c>
      <c r="N5" s="5" t="s">
        <v>29</v>
      </c>
      <c r="O5" s="5" t="s">
        <v>29</v>
      </c>
    </row>
    <row r="6" s="3" customFormat="1" spans="1:15">
      <c r="A6" s="5" t="s">
        <v>30</v>
      </c>
      <c r="B6" s="5" t="s">
        <v>31</v>
      </c>
      <c r="C6" s="5"/>
      <c r="D6" s="5"/>
      <c r="E6" s="5"/>
      <c r="F6" s="5" t="s">
        <v>54</v>
      </c>
      <c r="G6" s="5" t="s">
        <v>56</v>
      </c>
      <c r="H6" s="5" t="s">
        <v>83</v>
      </c>
      <c r="I6" s="5" t="s">
        <v>35</v>
      </c>
      <c r="J6" s="5"/>
      <c r="K6" s="5"/>
      <c r="L6" s="5"/>
      <c r="M6" s="5"/>
      <c r="N6" s="5"/>
      <c r="O6" s="5"/>
    </row>
    <row r="7" ht="49.5" customHeight="1">
      <c r="B7" t="str" s="8">
        <v>临时商品_1001_1</v>
      </c>
      <c r="C7" t="n" s="7">
        <v>1001</v>
      </c>
      <c r="D7" t="str" s="8">
        <v>临时商品_1001_1</v>
      </c>
      <c r="E7" t="str" s="8">
        <v>临时每日经验池</v>
      </c>
      <c r="F7" t="str" s="7">
        <v>每日商店</v>
      </c>
      <c r="G7" t="str" s="7">
        <v>集市-1级</v>
      </c>
      <c r="H7" t="str" s="7">
        <v>英雄经验//100</v>
      </c>
      <c r="I7" t="str" s="7">
        <v>金币</v>
      </c>
      <c r="J7" t="n" s="7">
        <v>100</v>
      </c>
      <c r="K7" t="n" s="7">
        <v>1</v>
      </c>
      <c r="L7" t="n" s="7">
        <v>1</v>
      </c>
      <c r="M7" t="n" s="7">
        <v>100</v>
      </c>
      <c r="N7" t="b" s="7">
        <v>0</v>
      </c>
      <c r="O7" t="b" s="7">
        <v>0</v>
      </c>
    </row>
    <row r="8" ht="49.5" customHeight="1">
      <c r="B8" t="str" s="8">
        <v>临时商品_1001_2</v>
      </c>
      <c r="C8" t="n" s="7">
        <v>1001</v>
      </c>
      <c r="D8" t="str" s="8">
        <v>临时商品_1001_2</v>
      </c>
      <c r="F8" t="str" s="7">
        <v>每日商店</v>
      </c>
      <c r="G8" t="str" s="7">
        <v>集市-1级</v>
      </c>
      <c r="H8" t="str" s="7">
        <v>士兵经验//100</v>
      </c>
      <c r="I8" t="str" s="7">
        <v>金币</v>
      </c>
      <c r="J8" t="n" s="7">
        <v>100</v>
      </c>
      <c r="K8" t="n" s="7">
        <v>1</v>
      </c>
      <c r="L8" t="n" s="7">
        <v>1</v>
      </c>
      <c r="M8" t="n" s="7">
        <v>100</v>
      </c>
      <c r="N8" t="b" s="7">
        <v>0</v>
      </c>
      <c r="O8" t="b" s="7">
        <v>0</v>
      </c>
    </row>
    <row r="9" ht="49.5" customHeight="1">
      <c r="B9" t="str" s="8">
        <v>临时商品_1002_1</v>
      </c>
      <c r="C9" t="n" s="7">
        <v>1002</v>
      </c>
      <c r="D9" t="str" s="8">
        <v>临时商品_1002_1</v>
      </c>
      <c r="E9" t="str" s="8">
        <v>临时每日材料池</v>
      </c>
      <c r="F9" t="str" s="7">
        <v>每日商店</v>
      </c>
      <c r="G9" t="str" s="7">
        <v>集市-1级</v>
      </c>
      <c r="H9" t="str" s="7">
        <v>突破符石//5</v>
      </c>
      <c r="I9" t="str" s="7">
        <v>钻石</v>
      </c>
      <c r="J9" t="n" s="7">
        <v>50</v>
      </c>
      <c r="K9" t="n" s="7">
        <v>1</v>
      </c>
      <c r="L9" t="n" s="7">
        <v>1</v>
      </c>
      <c r="M9" t="n" s="7">
        <v>100</v>
      </c>
      <c r="N9" t="b" s="7">
        <v>0</v>
      </c>
      <c r="O9" t="b" s="7">
        <v>0</v>
      </c>
    </row>
    <row r="10" ht="49.5" customHeight="1">
      <c r="B10" t="str" s="8">
        <v>临时商品_1002_2</v>
      </c>
      <c r="C10" t="n" s="7">
        <v>1002</v>
      </c>
      <c r="D10" t="str" s="8">
        <v>临时商品_1002_2</v>
      </c>
      <c r="F10" t="str" s="7">
        <v>每日商店</v>
      </c>
      <c r="G10" t="str" s="7">
        <v>集市-1级</v>
      </c>
      <c r="H10" t="str" s="7">
        <v>英雄招募券//1</v>
      </c>
      <c r="I10" t="str" s="7">
        <v>钻石</v>
      </c>
      <c r="J10" t="n" s="7">
        <v>200</v>
      </c>
      <c r="K10" t="n" s="7">
        <v>1</v>
      </c>
      <c r="L10" t="n" s="7">
        <v>1</v>
      </c>
      <c r="M10" t="n" s="7">
        <v>100</v>
      </c>
      <c r="N10" t="b" s="7">
        <v>0</v>
      </c>
      <c r="O10" t="b" s="7">
        <v>0</v>
      </c>
    </row>
    <row r="11" ht="49.5" customHeight="1">
      <c r="B11" t="str" s="8">
        <v>临时商品_2001_1</v>
      </c>
      <c r="C11" t="n" s="7">
        <v>2001</v>
      </c>
      <c r="D11" t="str" s="8">
        <v>临时商品_2001_1</v>
      </c>
      <c r="E11" t="str" s="8">
        <v>临时资源木材池</v>
      </c>
      <c r="F11" t="str" s="7">
        <v>资源商店</v>
      </c>
      <c r="G11" t="str" s="7">
        <v>集市-2级</v>
      </c>
      <c r="H11" t="str" s="7">
        <v>木材//100</v>
      </c>
      <c r="I11" t="str" s="7">
        <v>金币</v>
      </c>
      <c r="J11" t="n" s="7">
        <v>200</v>
      </c>
      <c r="K11" t="n" s="7">
        <v>1</v>
      </c>
      <c r="L11" t="n" s="7">
        <v>1</v>
      </c>
      <c r="M11" t="n" s="7">
        <v>100</v>
      </c>
      <c r="N11" t="b" s="7">
        <v>0</v>
      </c>
      <c r="O11" t="b" s="7">
        <v>0</v>
      </c>
    </row>
    <row r="12" ht="49.5" customHeight="1">
      <c r="B12" t="str" s="8">
        <v>临时商品_2002_1</v>
      </c>
      <c r="C12" t="n" s="7">
        <v>2002</v>
      </c>
      <c r="D12" t="str" s="8">
        <v>临时商品_2002_1</v>
      </c>
      <c r="E12" t="str" s="8">
        <v>临时资源矿石池</v>
      </c>
      <c r="F12" t="str" s="7">
        <v>资源商店</v>
      </c>
      <c r="G12" t="str" s="7">
        <v>集市-2级</v>
      </c>
      <c r="H12" t="str" s="7">
        <v>矿石//100</v>
      </c>
      <c r="I12" t="str" s="7">
        <v>金币</v>
      </c>
      <c r="J12" t="n" s="7">
        <v>200</v>
      </c>
      <c r="K12" t="n" s="7">
        <v>1</v>
      </c>
      <c r="L12" t="n" s="7">
        <v>1</v>
      </c>
      <c r="M12" t="n" s="7">
        <v>100</v>
      </c>
      <c r="N12" t="b" s="7">
        <v>0</v>
      </c>
      <c r="O12" t="b" s="7">
        <v>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"/>
  <sheetViews>
    <sheetView workbookViewId="0">
      <selection activeCell="A1" sqref="A1:D1"/>
    </sheetView>
  </sheetViews>
  <sheetFormatPr defaultColWidth="9" defaultRowHeight="16.5" outlineLevelCol="3"/>
  <cols>
    <col min="1" max="1" width="25" customWidth="1"/>
    <col min="2" max="2" width="40" customWidth="1"/>
    <col min="3" max="4" width="66" customWidth="1"/>
  </cols>
  <sheetData>
    <row r="1" ht="33" customHeight="1" spans="1:4">
      <c r="A1" s="1" t="s">
        <v>84</v>
      </c>
      <c r="B1" s="1"/>
      <c r="C1" s="1"/>
      <c r="D1" s="1"/>
    </row>
    <row r="2" customHeight="1" spans="1:4">
      <c r="A2" s="1"/>
      <c r="B2" s="1"/>
      <c r="C2" s="1"/>
      <c r="D2" s="1"/>
    </row>
    <row r="3" ht="33" customHeight="1" spans="1:4">
      <c r="A3" s="2" t="s">
        <v>85</v>
      </c>
      <c r="B3" s="2" t="s">
        <v>86</v>
      </c>
      <c r="C3" s="2" t="s">
        <v>87</v>
      </c>
      <c r="D3" s="2" t="s">
        <v>88</v>
      </c>
    </row>
    <row r="4" ht="33" customHeight="1" spans="1:4">
      <c r="A4" s="1" t="s">
        <v>13</v>
      </c>
      <c r="B4" s="1" t="s">
        <v>89</v>
      </c>
      <c r="C4" s="1" t="s">
        <v>90</v>
      </c>
      <c r="D4" s="1" t="s">
        <v>91</v>
      </c>
    </row>
    <row r="5" ht="33" customHeight="1" spans="1:4">
      <c r="A5" s="1" t="s">
        <v>49</v>
      </c>
      <c r="B5" s="1" t="s">
        <v>92</v>
      </c>
      <c r="C5" s="1" t="s">
        <v>93</v>
      </c>
      <c r="D5" s="1" t="s">
        <v>94</v>
      </c>
    </row>
    <row r="6" ht="33" customHeight="1" spans="1:4">
      <c r="A6" s="1" t="s">
        <v>70</v>
      </c>
      <c r="B6" s="1" t="s">
        <v>95</v>
      </c>
      <c r="C6" s="1" t="s">
        <v>96</v>
      </c>
      <c r="D6" s="1" t="s">
        <v>97</v>
      </c>
    </row>
    <row r="7" ht="33" customHeight="1" spans="1:4">
      <c r="A7" s="1" t="s">
        <v>98</v>
      </c>
      <c r="B7" s="1" t="s">
        <v>99</v>
      </c>
      <c r="C7" s="1" t="s">
        <v>100</v>
      </c>
      <c r="D7" s="1" t="s">
        <v>101</v>
      </c>
    </row>
    <row r="8" ht="33" customHeight="1" spans="1:4">
      <c r="A8" s="1" t="s">
        <v>102</v>
      </c>
      <c r="B8" s="1" t="s">
        <v>103</v>
      </c>
      <c r="C8" s="1" t="s">
        <v>104</v>
      </c>
      <c r="D8" s="1" t="s">
        <v>105</v>
      </c>
    </row>
    <row r="9" ht="33" customHeight="1" spans="1:4">
      <c r="A9" s="1" t="s">
        <v>106</v>
      </c>
      <c r="B9" s="1" t="s">
        <v>107</v>
      </c>
      <c r="C9" s="1" t="s">
        <v>108</v>
      </c>
      <c r="D9" s="1" t="s">
        <v>109</v>
      </c>
    </row>
    <row r="10" ht="33" customHeight="1" spans="1:4">
      <c r="A10" s="1" t="s">
        <v>110</v>
      </c>
      <c r="B10" s="1" t="s">
        <v>111</v>
      </c>
      <c r="C10" s="1" t="s">
        <v>112</v>
      </c>
      <c r="D10" s="1" t="s">
        <v>113</v>
      </c>
    </row>
  </sheetData>
  <mergeCells count="1">
    <mergeCell ref="A1:D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集市类型表(MarketTypeData)</vt:lpstr>
      <vt:lpstr>集市商品栏位表(MarketSlotData)</vt:lpstr>
      <vt:lpstr>集市商品表(MarketGoodsData)</vt:lpstr>
      <vt:lpstr>#首版待配置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灿</cp:lastModifiedBy>
  <dcterms:created xsi:type="dcterms:W3CDTF">2026-09-04T10:51:00Z</dcterms:created>
  <dcterms:modified xsi:type="dcterms:W3CDTF">2026-09-16T11:36:22Z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C705111A615840489BC6CD10FA0D75FF_12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