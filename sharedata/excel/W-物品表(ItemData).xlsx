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策划文档\配置表\"/>
    </mc:Choice>
  </mc:AlternateContent>
  <bookViews>
    <workbookView windowWidth="28800" windowHeight="12255"/>
  </bookViews>
  <sheets>
    <sheet name="物品类型表(ItemTypeData)" sheetId="2" r:id="rId1"/>
    <sheet name="物品表1.货币" sheetId="1" r:id="rId2"/>
    <sheet name="2.道具" sheetId="3" r:id="rId3"/>
    <sheet name="3.英雄" sheetId="4" r:id="rId4"/>
    <sheet name="4.士兵" sheetId="5" r:id="rId5"/>
    <sheet name="5.装备" sheetId="6" r:id="rId6"/>
    <sheet name="6.神器" sheetId="7" r:id="rId7"/>
    <sheet name="7.礼包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<sst xmlns="http://schemas.openxmlformats.org/spreadsheetml/2006/main" count="190" uniqueCount="93">
  <si>
    <t>物品类型表</t>
  </si>
  <si>
    <t>编号</t>
  </si>
  <si>
    <t>检索名</t>
  </si>
  <si>
    <t>物品类型介绍</t>
  </si>
  <si>
    <t>物品类型图标</t>
  </si>
  <si>
    <t>备注</t>
  </si>
  <si>
    <t>ItemTypeData</t>
  </si>
  <si>
    <t>id</t>
  </si>
  <si>
    <t>ch_key</t>
  </si>
  <si>
    <t>name</t>
  </si>
  <si>
    <t>type_icon</t>
  </si>
  <si>
    <t>remark</t>
  </si>
  <si>
    <t>类型</t>
  </si>
  <si>
    <t>int</t>
  </si>
  <si>
    <t>string</t>
  </si>
  <si>
    <t>lang</t>
  </si>
  <si>
    <t>逻辑检查</t>
  </si>
  <si>
    <t>$key</t>
  </si>
  <si>
    <t>uniq</t>
  </si>
  <si>
    <t>ref(IconData)</t>
  </si>
  <si>
    <t>$ignore</t>
  </si>
  <si>
    <t>货币</t>
  </si>
  <si>
    <t>道具</t>
  </si>
  <si>
    <t>英雄</t>
  </si>
  <si>
    <t>士兵</t>
  </si>
  <si>
    <t>英雄碎片</t>
  </si>
  <si>
    <t>碎片角标</t>
  </si>
  <si>
    <t>士兵碎片</t>
  </si>
  <si>
    <t>道具碎片</t>
  </si>
  <si>
    <t>装备</t>
  </si>
  <si>
    <t>神器</t>
  </si>
  <si>
    <t>装备强化材料</t>
  </si>
  <si>
    <t>神器强化材料</t>
  </si>
  <si>
    <t>礼包</t>
  </si>
  <si>
    <t>随机礼包</t>
  </si>
  <si>
    <t>自选礼包</t>
  </si>
  <si>
    <t>物品表</t>
  </si>
  <si>
    <t>物品名称</t>
  </si>
  <si>
    <t>物品描述</t>
  </si>
  <si>
    <t>背包分页</t>
  </si>
  <si>
    <t>物品类型</t>
  </si>
  <si>
    <t>物品品质</t>
  </si>
  <si>
    <t>ItemData</t>
  </si>
  <si>
    <t>desc</t>
  </si>
  <si>
    <t>bag_page</t>
  </si>
  <si>
    <t>type</t>
  </si>
  <si>
    <t>quality</t>
  </si>
  <si>
    <t>ref(BagPageData)</t>
  </si>
  <si>
    <t>ref(ItemTypeData)</t>
  </si>
  <si>
    <t>ref(QualityData)</t>
  </si>
  <si>
    <t>钻石</t>
  </si>
  <si>
    <t>金</t>
  </si>
  <si>
    <t>金币</t>
  </si>
  <si>
    <t>木材</t>
  </si>
  <si>
    <t>矿石</t>
  </si>
  <si>
    <t>宝石</t>
  </si>
  <si>
    <t>水晶</t>
  </si>
  <si>
    <t>水银</t>
  </si>
  <si>
    <t>炼金粉尘</t>
  </si>
  <si>
    <t>图标</t>
  </si>
  <si>
    <t>单位引用</t>
  </si>
  <si>
    <t>神器数据</t>
  </si>
  <si>
    <t>增加神器经验</t>
  </si>
  <si>
    <t>icon</t>
  </si>
  <si>
    <t>unit_id</t>
  </si>
  <si>
    <t>artifact_data</t>
  </si>
  <si>
    <t>add_artifact_exp</t>
  </si>
  <si>
    <t>ref(UnitData)</t>
  </si>
  <si>
    <t>ref(ArtifactData)</t>
  </si>
  <si>
    <t/>
  </si>
  <si>
    <t>普通宝箱</t>
  </si>
  <si>
    <t>精良宝箱</t>
  </si>
  <si>
    <t>史诗宝箱</t>
  </si>
  <si>
    <t>传说宝箱</t>
  </si>
  <si>
    <t>神迹宝箱</t>
  </si>
  <si>
    <t>空的不显示在背包</t>
  </si>
  <si>
    <t>物品编号</t>
  </si>
  <si>
    <t>中文索引</t>
  </si>
  <si>
    <t>叠加数量</t>
  </si>
  <si>
    <t>物品图标</t>
  </si>
  <si>
    <t>图标特效</t>
  </si>
  <si>
    <t>装备数据</t>
  </si>
  <si>
    <t>增加装备经验</t>
  </si>
  <si>
    <t>后台邮件数量限制</t>
  </si>
  <si>
    <t>动画获得表现</t>
  </si>
  <si>
    <t>max_plus</t>
  </si>
  <si>
    <t>icon_effect</t>
  </si>
  <si>
    <t>equip_id</t>
  </si>
  <si>
    <t>add_equip_exp</t>
  </si>
  <si>
    <t>gmt_mail_num_limit</t>
  </si>
  <si>
    <t>gain_effect_target_id</t>
  </si>
  <si>
    <t>ref(EquipData)</t>
  </si>
  <si>
    <t>ref(GainItemFlyTargetData)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</si>
</sst>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name val="微软雅黑"/>
      <charset val="134"/>
    </font>
    <font>
      <b/>
      <sz val="11"/>
      <name val="微软雅黑"/>
      <charset val="134"/>
    </font>
    <font>
      <sz val="11"/>
      <color rgb="FF333333"/>
      <name val="微软雅黑"/>
      <charset val="134"/>
    </font>
    <font>
      <b/>
      <sz val="11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微软雅黑"/>
      <charset val="134"/>
    </font>
    <font>
      <sz val="12"/>
      <name val="宋体"/>
      <charset val="134"/>
    </font>
    <font>
      <sz val="11"/>
      <name val="微软雅黑"/>
    </font>
    <font>
      <b/>
      <sz val="11"/>
      <name val="微软雅黑"/>
    </font>
    <font>
      <b/>
      <sz val="11"/>
      <color rgb="FFFF0000"/>
      <name val="微软雅黑"/>
    </font>
    <font>
      <sz val="11"/>
      <name val="微软雅黑"/>
      <b/>
      <color rgb="FFFF0000"/>
    </font>
    <font>
      <sz val="11"/>
      <name val="微软雅黑"/>
      <charset val="134"/>
      <b/>
      <color rgb="FFFF0000"/>
    </font>
  </fonts>
  <fills count="36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6C6A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/>
  </borders>
  <cellStyleXfs count="56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0" fillId="0" borderId="0"/>
    <xf numFmtId="0" fontId="25" fillId="0" borderId="0">
      <alignment vertical="center"/>
    </xf>
    <xf numFmtId="0" fontId="26" fillId="0" borderId="0"/>
    <xf numFmtId="49" fontId="0" fillId="0" borderId="1" applyFill="0">
      <alignment horizontal="center" vertical="center" shrinkToFit="1"/>
    </xf>
    <xf numFmtId="0" fontId="25" fillId="0" borderId="11" applyNumberFormat="0" applyFill="0">
      <alignment horizontal="left" vertical="top" wrapText="1"/>
    </xf>
    <xf numFmtId="0" fontId="5" fillId="0" borderId="0">
      <alignment vertical="center"/>
    </xf>
    <xf numFmtId="0" fontId="27" fillId="0" borderId="13">
      <alignment vertical="center"/>
    </xf>
  </cellStyleXfs>
  <cellXfs count="22">
    <xf numFmtId="0" fontId="0" fillId="0" borderId="0" xfId="49" applyAlignment="1">
      <alignment horizontal="center" vertical="center"/>
    </xf>
    <xf numFmtId="0" fontId="0" fillId="0" borderId="0" xfId="49" applyFont="1" applyAlignment="1">
      <alignment horizontal="center" vertical="center"/>
    </xf>
    <xf numFmtId="0" fontId="1" fillId="2" borderId="1" xfId="49" applyFont="1" applyFill="1" applyBorder="1" applyAlignment="1">
      <alignment horizontal="center" vertical="center"/>
    </xf>
    <xf numFmtId="0" fontId="0" fillId="2" borderId="1" xfId="49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0" fontId="3" fillId="2" borderId="1" xfId="49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4" fillId="2" borderId="1" xfId="49" applyNumberFormat="1" applyFont="1" applyFill="1" applyBorder="1" applyAlignment="1">
      <alignment horizontal="center" vertical="center"/>
    </xf>
    <xf numFmtId="0" fontId="0" fillId="3" borderId="2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horizontal="left" vertical="center"/>
    </xf>
    <xf numFmtId="0" fontId="0" fillId="0" borderId="0" xfId="50" applyFont="1" applyAlignment="1">
      <alignment horizontal="center" vertical="center"/>
    </xf>
    <xf numFmtId="0" fontId="27" fillId="35" borderId="12" xfId="55" applyNumberFormat="1" applyFont="1" applyFill="1" applyBorder="1" applyAlignment="1">
      <alignment horizontal="center" vertical="center"/>
    </xf>
    <xf numFmtId="0" fontId="28" fillId="35" borderId="12" xfId="55" applyNumberFormat="1" applyFont="1" applyFill="1" applyBorder="1" applyAlignment="1">
      <alignment horizontal="center" vertical="center"/>
    </xf>
    <xf numFmtId="0" fontId="29" fillId="0" borderId="13" xfId="55" applyNumberFormat="1" applyFont="1" applyFill="1" applyBorder="1" applyAlignment="1">
      <alignment horizontal="center" vertical="center"/>
    </xf>
    <xf numFmtId="0" fontId="30" fillId="0" borderId="13" xfId="55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center" vertical="center" wrapText="1"/>
    </xf>
    <xf numFmtId="0" fontId="31" fillId="0" borderId="0" xfId="49" applyFont="1" applyAlignment="1">
      <alignment horizontal="center" vertical="center"/>
    </xf>
    <xf numFmtId="0" fontId="31" fillId="0" borderId="0" xfId="49" applyFont="1" applyAlignment="1">
      <alignment horizontal="center" vertical="center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4" xfId="50"/>
    <cellStyle name="常规 2" xfId="51"/>
    <cellStyle name="1表头" xfId="52"/>
    <cellStyle name="3备注" xfId="53"/>
    <cellStyle name="常规 5" xfId="54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tabSelected="1" workbookViewId="0">
      <selection activeCell="I17" sqref="I17"/>
    </sheetView>
  </sheetViews>
  <sheetFormatPr defaultColWidth="18" defaultRowHeight="16.5"/>
  <cols>
    <col min="1" max="1" width="16.2222222222222" style="1" customWidth="1"/>
    <col min="2" max="2" width="5.55555555555556" style="1" customWidth="1"/>
    <col min="3" max="3" width="11.3333333333333" style="1" customWidth="1"/>
    <col min="4" max="5" width="20.2222222222222" style="1" customWidth="1"/>
    <col min="6" max="6" width="11" style="1" customWidth="1"/>
    <col min="7" max="7" width="13.2222222222222" style="1" customWidth="1"/>
    <col min="8" max="8" width="16.5555555555556" style="1" customWidth="1"/>
    <col min="9" max="9" width="10.8888888888889" style="1" customWidth="1"/>
    <col min="10" max="16384" width="18" style="1" customWidth="1"/>
  </cols>
  <sheetData>
    <row r="1" s="1" customFormat="1" spans="1:11">
      <c r="A1" s="11"/>
      <c r="B1" s="11"/>
      <c r="C1" s="11"/>
      <c r="D1" s="11"/>
      <c r="E1" s="11"/>
      <c r="F1" s="11"/>
      <c r="G1" s="11"/>
      <c r="H1" s="11"/>
      <c r="I1" s="11"/>
    </row>
    <row r="2" s="1" customFormat="1" spans="1:11">
      <c r="A2" s="11"/>
      <c r="B2" s="11"/>
      <c r="C2" s="11"/>
      <c r="D2" s="11"/>
      <c r="E2" s="11"/>
      <c r="F2" s="11"/>
      <c r="G2" s="11"/>
      <c r="H2" s="11"/>
      <c r="I2" s="11"/>
    </row>
    <row r="3" s="3" customFormat="1" spans="1:11">
      <c r="A3" s="5" t="s">
        <v>0</v>
      </c>
      <c r="B3" s="5" t="s">
        <v>1</v>
      </c>
      <c r="C3" s="5" t="s">
        <v>2</v>
      </c>
      <c r="D3" s="6" t="s">
        <v>3</v>
      </c>
      <c r="E3" s="6" t="s">
        <v>4</v>
      </c>
      <c r="F3" s="6" t="s">
        <v>5</v>
      </c>
      <c r="G3" s="6"/>
      <c r="H3" s="6"/>
      <c r="I3" s="6"/>
      <c r="J3" s="6"/>
      <c r="K3" s="6"/>
    </row>
    <row r="4" s="3" customFormat="1" spans="1:11">
      <c r="A4" s="7" t="s">
        <v>6</v>
      </c>
      <c r="B4" s="7" t="s">
        <v>7</v>
      </c>
      <c r="C4" s="7" t="s">
        <v>8</v>
      </c>
      <c r="D4" s="8" t="s">
        <v>9</v>
      </c>
      <c r="E4" s="8" t="s">
        <v>10</v>
      </c>
      <c r="F4" s="8" t="s">
        <v>11</v>
      </c>
      <c r="G4" s="8"/>
      <c r="H4" s="8"/>
      <c r="I4" s="8"/>
      <c r="J4" s="8"/>
      <c r="K4" s="8"/>
    </row>
    <row r="5" s="3" customFormat="1" spans="1:11">
      <c r="A5" s="7" t="s">
        <v>12</v>
      </c>
      <c r="B5" s="7" t="s">
        <v>13</v>
      </c>
      <c r="C5" s="7" t="s">
        <v>14</v>
      </c>
      <c r="D5" s="8" t="s">
        <v>15</v>
      </c>
      <c r="E5" s="8" t="s">
        <v>14</v>
      </c>
      <c r="F5" s="8" t="s">
        <v>14</v>
      </c>
      <c r="G5" s="8"/>
      <c r="H5" s="8"/>
      <c r="I5" s="8"/>
      <c r="J5" s="8"/>
      <c r="K5" s="8"/>
    </row>
    <row r="6" s="3" customFormat="1" spans="1:11">
      <c r="A6" s="7" t="s">
        <v>16</v>
      </c>
      <c r="B6" s="7" t="s">
        <v>17</v>
      </c>
      <c r="C6" s="7" t="s">
        <v>18</v>
      </c>
      <c r="D6" s="8"/>
      <c r="E6" s="8" t="s">
        <v>19</v>
      </c>
      <c r="F6" s="8" t="s">
        <v>20</v>
      </c>
      <c r="G6" s="8"/>
      <c r="H6" s="8"/>
      <c r="I6" s="8"/>
      <c r="J6" s="8"/>
      <c r="K6" s="8"/>
    </row>
    <row r="7" s="1" customFormat="1" spans="1:11">
      <c r="A7" s="12"/>
      <c r="B7" s="9">
        <v>100</v>
      </c>
      <c r="C7" s="9" t="s">
        <v>21</v>
      </c>
      <c r="D7" s="9" t="str">
        <f>"$Lang$"&amp;C7</f>
        <v>$Lang$货币</v>
      </c>
      <c r="E7" s="9"/>
      <c r="F7" s="9"/>
      <c r="G7" s="9"/>
      <c r="H7" s="9"/>
      <c r="I7" s="9"/>
    </row>
    <row r="8" s="1" customFormat="1" spans="1:11">
      <c r="A8" s="12"/>
      <c r="B8" s="9">
        <v>200</v>
      </c>
      <c r="C8" s="9" t="s">
        <v>22</v>
      </c>
      <c r="D8" s="9" t="str">
        <f>"$Lang$"&amp;C8</f>
        <v>$Lang$道具</v>
      </c>
      <c r="E8" s="13"/>
      <c r="F8" s="9"/>
      <c r="G8" s="9"/>
      <c r="H8" s="9"/>
      <c r="I8" s="9"/>
    </row>
    <row r="9" s="1" customFormat="1" spans="1:11">
      <c r="A9" s="12"/>
      <c r="B9" s="9">
        <v>300</v>
      </c>
      <c r="C9" s="9" t="s">
        <v>23</v>
      </c>
      <c r="D9" s="9" t="str">
        <f>"$Lang$"&amp;C9</f>
        <v>$Lang$英雄</v>
      </c>
      <c r="E9" s="13"/>
      <c r="F9" s="9"/>
      <c r="G9" s="9"/>
      <c r="H9" s="9"/>
      <c r="I9" s="9"/>
    </row>
    <row r="10" s="1" customFormat="1" spans="1:11">
      <c r="A10" s="12"/>
      <c r="B10" s="9">
        <v>400</v>
      </c>
      <c r="C10" s="9" t="s">
        <v>24</v>
      </c>
      <c r="D10" s="9" t="str">
        <f t="shared" ref="D10:D19" si="0">"$Lang$"&amp;C10</f>
        <v>$Lang$士兵</v>
      </c>
      <c r="E10" s="13"/>
      <c r="F10" s="9"/>
      <c r="G10" s="9"/>
      <c r="H10" s="9"/>
      <c r="I10" s="9"/>
    </row>
    <row r="11" s="1" customFormat="1" spans="1:11">
      <c r="A11" s="12"/>
      <c r="B11" s="9">
        <v>500</v>
      </c>
      <c r="C11" s="9" t="s">
        <v>25</v>
      </c>
      <c r="D11" s="9" t="str">
        <f t="shared" si="0"/>
        <v>$Lang$英雄碎片</v>
      </c>
      <c r="E11" s="13" t="s">
        <v>26</v>
      </c>
      <c r="F11" s="9"/>
      <c r="G11" s="9"/>
      <c r="H11" s="9"/>
      <c r="I11" s="9"/>
    </row>
    <row r="12" spans="1:11">
      <c r="B12" s="9">
        <v>600</v>
      </c>
      <c r="C12" s="1" t="s">
        <v>27</v>
      </c>
      <c r="D12" s="9" t="str">
        <f t="shared" si="0"/>
        <v>$Lang$士兵碎片</v>
      </c>
      <c r="E12" s="13" t="s">
        <v>26</v>
      </c>
      <c r="F12" s="9"/>
    </row>
    <row r="13" spans="1:11">
      <c r="B13" s="9">
        <v>700</v>
      </c>
      <c r="C13" s="1" t="s">
        <v>28</v>
      </c>
      <c r="D13" s="9" t="str">
        <f t="shared" si="0"/>
        <v>$Lang$道具碎片</v>
      </c>
      <c r="E13" s="13" t="s">
        <v>26</v>
      </c>
      <c r="F13" s="9"/>
    </row>
    <row r="14" spans="1:11">
      <c r="B14" s="9">
        <v>800</v>
      </c>
      <c r="C14" s="1" t="s">
        <v>29</v>
      </c>
      <c r="D14" s="9" t="str">
        <f t="shared" si="0"/>
        <v>$Lang$装备</v>
      </c>
      <c r="F14" s="9"/>
    </row>
    <row r="15" spans="1:11">
      <c r="B15" s="9">
        <v>900</v>
      </c>
      <c r="C15" s="1" t="s">
        <v>30</v>
      </c>
      <c r="D15" s="9" t="str">
        <f t="shared" si="0"/>
        <v>$Lang$神器</v>
      </c>
      <c r="F15" s="9"/>
    </row>
    <row r="16" spans="1:11">
      <c r="B16" s="9">
        <v>1000</v>
      </c>
      <c r="C16" s="1" t="s">
        <v>31</v>
      </c>
      <c r="D16" s="9" t="str">
        <f t="shared" si="0"/>
        <v>$Lang$装备强化材料</v>
      </c>
      <c r="F16" s="9"/>
    </row>
    <row r="17" spans="2:6">
      <c r="B17" s="9">
        <v>1100</v>
      </c>
      <c r="C17" s="1" t="s">
        <v>32</v>
      </c>
      <c r="D17" s="9" t="str">
        <f t="shared" si="0"/>
        <v>$Lang$神器强化材料</v>
      </c>
      <c r="F17" s="9"/>
    </row>
    <row r="18" spans="2:6">
      <c r="B18" s="9">
        <v>1200</v>
      </c>
      <c r="C18" s="13" t="s">
        <v>33</v>
      </c>
      <c r="D18" s="9" t="str">
        <f t="shared" si="0"/>
        <v>$Lang$礼包</v>
      </c>
      <c r="F18" s="9"/>
    </row>
    <row r="19" spans="2:6">
      <c r="B19" s="9">
        <v>1300</v>
      </c>
      <c r="C19" s="13" t="s">
        <v>34</v>
      </c>
      <c r="D19" s="9" t="str">
        <f t="shared" si="0"/>
        <v>$Lang$随机礼包</v>
      </c>
    </row>
    <row r="20" spans="2:6">
      <c r="B20" s="9">
        <v>1400</v>
      </c>
      <c r="C20" s="1" t="s">
        <v>35</v>
      </c>
      <c r="D20" s="9" t="str">
        <f>"$Lang$"&amp;C20</f>
        <v>$Lang$自选礼包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workbookViewId="0">
      <selection activeCell="J11" sqref="J11"/>
    </sheetView>
  </sheetViews>
  <sheetFormatPr defaultColWidth="18" defaultRowHeight="16.5"/>
  <cols>
    <col min="1" max="1" width="16.2222222222222" style="1" customWidth="1"/>
    <col min="2" max="2" width="6.22222222222222" style="1" customWidth="1"/>
    <col min="3" max="3" width="7.88888888888889" style="1" customWidth="1"/>
    <col min="4" max="4" width="14.2222222222222" style="1" customWidth="1"/>
    <col min="5" max="5" width="11.8888888888889" style="1" customWidth="1"/>
    <col min="6" max="6" width="15.7777777777778" style="1" customWidth="1"/>
    <col min="7" max="8" width="16.5555555555556" style="1" customWidth="1"/>
    <col min="9" max="9" width="29" customWidth="1"/>
    <col min="10" max="10" width="27" customWidth="1"/>
    <col min="11" max="16382" width="18" style="1" customWidth="1"/>
    <col min="16383" max="16384" width="18" style="1"/>
  </cols>
  <sheetData>
    <row r="1" spans="1:10">
      <c r="A1" s="11"/>
      <c r="B1" s="11"/>
      <c r="C1" s="11"/>
      <c r="D1" s="11"/>
      <c r="E1" s="11"/>
      <c r="F1" s="11"/>
      <c r="G1" s="11"/>
      <c r="H1" s="11"/>
      <c r="I1" s="10"/>
      <c r="J1" s="10"/>
    </row>
    <row r="2" spans="1:10">
      <c r="A2" s="11"/>
      <c r="B2" s="11"/>
      <c r="C2" s="11"/>
      <c r="D2" s="11"/>
      <c r="E2" s="11"/>
      <c r="F2" s="11"/>
      <c r="G2" s="11"/>
      <c r="H2" s="11"/>
      <c r="I2" s="10"/>
      <c r="J2" s="10"/>
    </row>
    <row r="3" s="3" customFormat="1" spans="1:10">
      <c r="A3" s="5" t="s">
        <v>36</v>
      </c>
      <c r="B3" s="5" t="s">
        <v>1</v>
      </c>
      <c r="C3" s="5" t="s">
        <v>2</v>
      </c>
      <c r="D3" s="6" t="s">
        <v>37</v>
      </c>
      <c r="E3" s="6" t="s">
        <v>38</v>
      </c>
      <c r="F3" s="6" t="s">
        <v>39</v>
      </c>
      <c r="G3" s="6" t="s">
        <v>40</v>
      </c>
      <c r="H3" s="6" t="s">
        <v>41</v>
      </c>
      <c r="I3" s="6"/>
      <c r="J3" s="6"/>
    </row>
    <row r="4" s="3" customFormat="1" spans="1:10">
      <c r="A4" s="7" t="s">
        <v>42</v>
      </c>
      <c r="B4" s="7" t="s">
        <v>7</v>
      </c>
      <c r="C4" s="7" t="s">
        <v>8</v>
      </c>
      <c r="D4" s="8" t="s">
        <v>9</v>
      </c>
      <c r="E4" s="8" t="s">
        <v>43</v>
      </c>
      <c r="F4" s="8" t="s">
        <v>44</v>
      </c>
      <c r="G4" s="8" t="s">
        <v>45</v>
      </c>
      <c r="H4" s="8" t="s">
        <v>46</v>
      </c>
      <c r="I4" s="8"/>
      <c r="J4" s="8"/>
    </row>
    <row r="5" s="3" customFormat="1" spans="1:10">
      <c r="A5" s="7" t="s">
        <v>12</v>
      </c>
      <c r="B5" s="7" t="s">
        <v>13</v>
      </c>
      <c r="C5" s="7" t="s">
        <v>14</v>
      </c>
      <c r="D5" s="8" t="s">
        <v>15</v>
      </c>
      <c r="E5" s="8" t="s">
        <v>15</v>
      </c>
      <c r="F5" s="8" t="s">
        <v>14</v>
      </c>
      <c r="G5" s="8" t="s">
        <v>14</v>
      </c>
      <c r="H5" s="8" t="s">
        <v>14</v>
      </c>
      <c r="I5" s="8"/>
      <c r="J5" s="8"/>
    </row>
    <row r="6" s="3" customFormat="1" spans="1:10">
      <c r="A6" s="7" t="s">
        <v>16</v>
      </c>
      <c r="B6" s="7" t="s">
        <v>17</v>
      </c>
      <c r="C6" s="7" t="s">
        <v>18</v>
      </c>
      <c r="D6" s="8"/>
      <c r="E6" s="8"/>
      <c r="F6" s="8" t="s">
        <v>47</v>
      </c>
      <c r="G6" s="8" t="s">
        <v>48</v>
      </c>
      <c r="H6" s="8" t="s">
        <v>49</v>
      </c>
      <c r="I6" s="8"/>
      <c r="J6" s="8"/>
    </row>
    <row r="7" spans="1:10">
      <c r="A7" s="12"/>
      <c r="B7" s="9">
        <v>1001</v>
      </c>
      <c r="C7" s="9" t="s">
        <v>50</v>
      </c>
      <c r="D7" s="18" t="str">
        <v>钻石</v>
      </c>
      <c r="E7" s="9"/>
      <c r="F7" s="9"/>
      <c r="G7" s="9" t="s">
        <v>21</v>
      </c>
      <c r="H7" s="9" t="s">
        <v>51</v>
      </c>
    </row>
    <row r="8" spans="1:10">
      <c r="A8" s="12"/>
      <c r="B8" s="9">
        <v>1002</v>
      </c>
      <c r="C8" s="9" t="s">
        <v>52</v>
      </c>
      <c r="D8" s="18" t="str">
        <v>金币</v>
      </c>
      <c r="E8" s="9"/>
      <c r="F8" s="9"/>
      <c r="G8" s="9" t="s">
        <v>21</v>
      </c>
      <c r="H8" s="9" t="s">
        <v>51</v>
      </c>
    </row>
    <row r="9" spans="1:10">
      <c r="A9" s="12"/>
      <c r="B9" s="9">
        <v>1003</v>
      </c>
      <c r="C9" s="9" t="s">
        <v>53</v>
      </c>
      <c r="D9" s="18" t="str">
        <v>木材</v>
      </c>
      <c r="E9" s="9"/>
      <c r="F9" s="9"/>
      <c r="G9" s="9" t="s">
        <v>21</v>
      </c>
      <c r="H9" s="9" t="s">
        <v>51</v>
      </c>
    </row>
    <row r="10" spans="1:10">
      <c r="A10" s="12"/>
      <c r="B10" s="9">
        <v>1004</v>
      </c>
      <c r="C10" s="9" t="s">
        <v>54</v>
      </c>
      <c r="D10" s="18" t="str">
        <v>矿石</v>
      </c>
      <c r="E10" s="9"/>
      <c r="F10" s="9"/>
      <c r="G10" s="9" t="s">
        <v>21</v>
      </c>
      <c r="H10" s="9" t="s">
        <v>51</v>
      </c>
    </row>
    <row r="11" spans="1:10">
      <c r="A11" s="12"/>
      <c r="B11" s="9">
        <v>1005</v>
      </c>
      <c r="C11" s="9" t="s">
        <v>55</v>
      </c>
      <c r="D11" s="18" t="str">
        <v>宝石</v>
      </c>
      <c r="E11" s="9"/>
      <c r="F11" s="9"/>
      <c r="G11" s="9" t="s">
        <v>21</v>
      </c>
      <c r="H11" s="9" t="s">
        <v>51</v>
      </c>
    </row>
    <row r="12" spans="1:10">
      <c r="B12" s="9">
        <v>1006</v>
      </c>
      <c r="C12" s="1" t="s">
        <v>56</v>
      </c>
      <c r="D12" t="str" s="18">
        <v>水晶</v>
      </c>
      <c r="G12" s="9" t="s">
        <v>21</v>
      </c>
      <c r="H12" s="1" t="s">
        <v>51</v>
      </c>
    </row>
    <row r="13" spans="1:10">
      <c r="B13" s="9">
        <v>1007</v>
      </c>
      <c r="C13" s="1" t="s">
        <v>57</v>
      </c>
      <c r="D13" t="str" s="18">
        <v>水银</v>
      </c>
      <c r="G13" s="9" t="s">
        <v>21</v>
      </c>
      <c r="H13" s="1" t="s">
        <v>51</v>
      </c>
    </row>
    <row r="14" spans="1:10">
      <c r="B14" s="9">
        <v>1008</v>
      </c>
      <c r="C14" s="1" t="s">
        <v>58</v>
      </c>
      <c r="D14" t="str" s="18">
        <v>炼金粉尘</v>
      </c>
      <c r="G14" s="9" t="s">
        <v>21</v>
      </c>
      <c r="H14" s="1" t="s">
        <v>51</v>
      </c>
    </row>
    <row r="15" spans="1:10" ht="33.0" customHeight="1">
      <c r="B15" s="18" t="n">
        <v>1009</v>
      </c>
      <c r="C15" t="str" s="19">
        <v>英雄经验</v>
      </c>
      <c r="D15" t="str" s="18">
        <v>英雄经验</v>
      </c>
      <c r="G15" t="str" s="18">
        <v>货币</v>
      </c>
      <c r="H15" t="str" s="18">
        <v>蓝</v>
      </c>
    </row>
    <row r="16" spans="1:10" ht="33.0" customHeight="1">
      <c r="B16" s="18" t="n">
        <v>1010</v>
      </c>
      <c r="C16" t="str" s="19">
        <v>士兵经验</v>
      </c>
      <c r="D16" t="str" s="18">
        <v>士兵经验</v>
      </c>
      <c r="G16" t="str" s="18">
        <v>货币</v>
      </c>
      <c r="H16" t="str" s="18">
        <v>蓝</v>
      </c>
    </row>
    <row r="17" spans="2:2" ht="33.0" customHeight="1">
      <c r="B17" s="18" t="n">
        <v>1011</v>
      </c>
      <c r="C17" t="str" s="19">
        <v>突破符石</v>
      </c>
      <c r="D17" t="str" s="18">
        <v>突破符石</v>
      </c>
      <c r="E17" s="9"/>
      <c r="F17" s="9"/>
      <c r="G17" t="str" s="18">
        <v>货币</v>
      </c>
      <c r="H17" t="str" s="18">
        <v>紫</v>
      </c>
    </row>
    <row r="18" spans="2:2">
      <c r="B18" s="9"/>
    </row>
    <row r="19" spans="2:2">
      <c r="B19" s="9"/>
    </row>
    <row r="20" spans="2:2">
      <c r="B20" s="9"/>
    </row>
    <row r="21" spans="2:2">
      <c r="B21" s="9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workbookViewId="0">
      <selection activeCell="F6" sqref="F6"/>
    </sheetView>
  </sheetViews>
  <sheetFormatPr defaultColWidth="18" defaultRowHeight="16.5"/>
  <cols>
    <col min="1" max="1" width="16.2222222222222" style="1" customWidth="1"/>
    <col min="2" max="2" width="6.22222222222222" style="1" customWidth="1"/>
    <col min="3" max="3" width="7.88888888888889" style="1" customWidth="1"/>
    <col min="4" max="4" width="14.2222222222222" style="1" customWidth="1"/>
    <col min="5" max="5" width="11.8888888888889" style="1" customWidth="1"/>
    <col min="6" max="6" width="14.3333333333333" style="1" customWidth="1"/>
    <col min="7" max="7" width="16.5555555555556" style="1" customWidth="1"/>
    <col min="8" max="8" width="11.7777777777778" style="1" customWidth="1"/>
    <col min="9" max="9" width="29" customWidth="1"/>
    <col min="10" max="10" width="27" customWidth="1"/>
    <col min="11" max="16382" width="18" style="1" customWidth="1"/>
    <col min="16383" max="16384" width="18" style="1"/>
  </cols>
  <sheetData>
    <row r="1" s="1" customFormat="1" spans="1:10">
      <c r="A1" s="10"/>
      <c r="B1" s="10"/>
      <c r="C1" s="10"/>
      <c r="D1" s="10"/>
      <c r="E1" s="10"/>
      <c r="F1" s="10"/>
      <c r="G1" s="10"/>
      <c r="H1" s="10"/>
      <c r="I1" s="10"/>
      <c r="J1" s="10"/>
    </row>
    <row r="2" s="1" customFormat="1" spans="1:10">
      <c r="A2" s="11"/>
      <c r="B2" s="11"/>
      <c r="C2" s="11"/>
      <c r="D2" s="11"/>
      <c r="E2" s="11"/>
      <c r="F2" s="11"/>
      <c r="G2" s="11"/>
      <c r="H2" s="11"/>
      <c r="I2" s="10"/>
      <c r="J2" s="10"/>
    </row>
    <row r="3" s="3" customFormat="1" spans="1:10">
      <c r="A3" s="5" t="s">
        <v>36</v>
      </c>
      <c r="B3" s="5" t="s">
        <v>1</v>
      </c>
      <c r="C3" s="5" t="s">
        <v>2</v>
      </c>
      <c r="D3" s="6" t="s">
        <v>37</v>
      </c>
      <c r="E3" s="6" t="s">
        <v>59</v>
      </c>
      <c r="F3" s="6" t="s">
        <v>41</v>
      </c>
      <c r="G3" s="6" t="s">
        <v>40</v>
      </c>
      <c r="H3" s="6" t="s">
        <v>60</v>
      </c>
      <c r="I3" s="6" t="s">
        <v>61</v>
      </c>
      <c r="J3" s="6" t="s">
        <v>62</v>
      </c>
    </row>
    <row r="4" s="3" customFormat="1" spans="1:10">
      <c r="A4" s="7" t="s">
        <v>42</v>
      </c>
      <c r="B4" s="7" t="s">
        <v>7</v>
      </c>
      <c r="C4" s="7" t="s">
        <v>8</v>
      </c>
      <c r="D4" s="8" t="s">
        <v>9</v>
      </c>
      <c r="E4" s="8" t="s">
        <v>63</v>
      </c>
      <c r="F4" s="8" t="s">
        <v>46</v>
      </c>
      <c r="G4" s="8" t="s">
        <v>45</v>
      </c>
      <c r="H4" s="8" t="s">
        <v>64</v>
      </c>
      <c r="I4" s="8" t="s">
        <v>65</v>
      </c>
      <c r="J4" s="8" t="s">
        <v>66</v>
      </c>
    </row>
    <row r="5" s="3" customFormat="1" spans="1:10">
      <c r="A5" s="7" t="s">
        <v>12</v>
      </c>
      <c r="B5" s="7" t="s">
        <v>13</v>
      </c>
      <c r="C5" s="7" t="s">
        <v>14</v>
      </c>
      <c r="D5" s="8" t="s">
        <v>15</v>
      </c>
      <c r="E5" s="8" t="s">
        <v>14</v>
      </c>
      <c r="F5" s="8" t="s">
        <v>14</v>
      </c>
      <c r="G5" s="8" t="s">
        <v>14</v>
      </c>
      <c r="H5" s="8" t="s">
        <v>14</v>
      </c>
      <c r="I5" s="8" t="s">
        <v>14</v>
      </c>
      <c r="J5" s="8" t="s">
        <v>13</v>
      </c>
    </row>
    <row r="6" s="3" customFormat="1" spans="1:10">
      <c r="A6" s="7" t="s">
        <v>16</v>
      </c>
      <c r="B6" s="7" t="s">
        <v>17</v>
      </c>
      <c r="C6" s="7" t="s">
        <v>18</v>
      </c>
      <c r="D6" s="8"/>
      <c r="E6" s="8" t="s">
        <v>19</v>
      </c>
      <c r="F6" s="8" t="s">
        <v>49</v>
      </c>
      <c r="G6" s="8" t="s">
        <v>48</v>
      </c>
      <c r="H6" s="8" t="s">
        <v>67</v>
      </c>
      <c r="I6" s="8" t="s">
        <v>68</v>
      </c>
      <c r="J6" s="8" t="s">
        <v>69</v>
      </c>
    </row>
    <row r="7" s="1" customFormat="1" spans="1:10">
      <c r="A7" s="12"/>
      <c r="B7" s="9">
        <v>20001</v>
      </c>
      <c r="C7" s="9" t="s">
        <v>70</v>
      </c>
      <c r="D7" s="9" t="str">
        <f t="shared" ref="D7:D11" si="0">"$Lang$"&amp;C7</f>
        <v>$Lang$普通宝箱</v>
      </c>
      <c r="E7" s="18" t="str">
        <v>普通宝箱</v>
      </c>
      <c r="F7" s="18" t="str">
        <v>灰</v>
      </c>
      <c r="G7" s="18" t="str">
        <v>道具</v>
      </c>
      <c r="H7" s="9"/>
      <c r="I7"/>
      <c r="J7"/>
    </row>
    <row r="8" s="1" customFormat="1" spans="1:10">
      <c r="A8" s="12"/>
      <c r="B8" s="9">
        <v>20002</v>
      </c>
      <c r="C8" s="9" t="s">
        <v>71</v>
      </c>
      <c r="D8" s="9" t="str">
        <f t="shared" si="0"/>
        <v>$Lang$精良宝箱</v>
      </c>
      <c r="E8" s="18" t="str">
        <v>精良宝箱</v>
      </c>
      <c r="F8" s="18" t="str">
        <v>蓝</v>
      </c>
      <c r="G8" s="18" t="str">
        <v>道具</v>
      </c>
      <c r="H8" s="9"/>
      <c r="I8"/>
      <c r="J8"/>
    </row>
    <row r="9" s="1" customFormat="1" spans="1:10">
      <c r="A9" s="12"/>
      <c r="B9" s="9">
        <v>20003</v>
      </c>
      <c r="C9" s="9" t="s">
        <v>72</v>
      </c>
      <c r="D9" s="9" t="str">
        <f t="shared" si="0"/>
        <v>$Lang$史诗宝箱</v>
      </c>
      <c r="E9" s="18" t="str">
        <v>史诗宝箱</v>
      </c>
      <c r="F9" s="18" t="str">
        <v>紫</v>
      </c>
      <c r="G9" s="18" t="str">
        <v>道具</v>
      </c>
      <c r="H9" s="9"/>
      <c r="I9"/>
      <c r="J9"/>
    </row>
    <row r="10" s="1" customFormat="1" spans="1:10">
      <c r="A10" s="12"/>
      <c r="B10" s="9">
        <v>20004</v>
      </c>
      <c r="C10" s="9" t="s">
        <v>73</v>
      </c>
      <c r="D10" s="9" t="str">
        <f t="shared" si="0"/>
        <v>$Lang$传说宝箱</v>
      </c>
      <c r="E10" s="18" t="str">
        <v>传说宝箱</v>
      </c>
      <c r="F10" s="18" t="str">
        <v>金</v>
      </c>
      <c r="G10" s="18" t="str">
        <v>道具</v>
      </c>
      <c r="H10" s="9"/>
      <c r="I10"/>
      <c r="J10"/>
    </row>
    <row r="11" s="1" customFormat="1" spans="1:10">
      <c r="A11" s="12"/>
      <c r="B11" s="9">
        <v>20005</v>
      </c>
      <c r="C11" s="9" t="s">
        <v>74</v>
      </c>
      <c r="D11" s="9" t="str">
        <f t="shared" si="0"/>
        <v>$Lang$神迹宝箱</v>
      </c>
      <c r="E11" s="18" t="str">
        <v>神迹宝箱</v>
      </c>
      <c r="F11" s="18" t="str">
        <v>彩</v>
      </c>
      <c r="G11" s="18" t="str">
        <v>道具</v>
      </c>
      <c r="H11" s="9"/>
      <c r="I11"/>
      <c r="J11"/>
    </row>
    <row r="12" ht="33.0" customHeight="1">
      <c r="B12" t="n" s="18">
        <v>21001</v>
      </c>
      <c r="C12" t="str" s="19">
        <v>英雄招募券</v>
      </c>
      <c r="D12" t="str" s="18">
        <v>英雄招募券</v>
      </c>
      <c r="E12" t="str" s="19">
        <v>英雄招募券</v>
      </c>
      <c r="F12" t="str" s="18">
        <v>金</v>
      </c>
      <c r="G12" t="str" s="18">
        <v>道具</v>
      </c>
      <c r="H12" s="9"/>
      <c r="I12" s="1"/>
      <c r="J12" s="1"/>
    </row>
  </sheetData>
  <mergeCells count="1">
    <mergeCell ref="A1:H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"/>
  <sheetViews>
    <sheetView workbookViewId="0">
      <selection activeCell="G35" sqref="G35"/>
    </sheetView>
  </sheetViews>
  <sheetFormatPr defaultColWidth="8.88888888888889" defaultRowHeight="16.5"/>
  <cols>
    <col min="1" max="1" width="18" hidden="0" customWidth="1"/>
    <col min="2" max="2" width="12" hidden="0" customWidth="1"/>
    <col min="3" max="3" width="32" hidden="0" customWidth="1"/>
    <col min="4" max="4" width="3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</cols>
  <sheetData>
    <row r="3" ht="16.5" customHeight="1">
      <c r="A3" t="str" s="15">
        <v>3.英雄</v>
      </c>
      <c r="B3" t="str" s="15">
        <v>编号</v>
      </c>
      <c r="C3" t="str" s="15">
        <v>检索名</v>
      </c>
      <c r="D3" t="str" s="15">
        <v>物品名称</v>
      </c>
      <c r="E3" t="str" s="15">
        <v>图标</v>
      </c>
      <c r="F3" t="str" s="15">
        <v>物品品质</v>
      </c>
      <c r="G3" t="str" s="15">
        <v>物品类型</v>
      </c>
      <c r="H3" t="str" s="15">
        <v>单位引用</v>
      </c>
      <c r="I3" t="str" s="15">
        <v>神器数据</v>
      </c>
      <c r="J3" t="str" s="15">
        <v>增加神器经验</v>
      </c>
    </row>
    <row r="4" ht="16.5" customHeight="1">
      <c r="A4" t="str" s="14">
        <v>ItemData</v>
      </c>
      <c r="B4" t="str" s="14">
        <v>id</v>
      </c>
      <c r="C4" t="str" s="14">
        <v>ch_key</v>
      </c>
      <c r="D4" t="str" s="14">
        <v>name</v>
      </c>
      <c r="E4" t="str" s="14">
        <v>icon</v>
      </c>
      <c r="F4" t="str" s="14">
        <v>quality</v>
      </c>
      <c r="G4" t="str" s="14">
        <v>type</v>
      </c>
      <c r="H4" t="str" s="14">
        <v>unit_id</v>
      </c>
      <c r="I4" t="str" s="14">
        <v>artifact_data</v>
      </c>
      <c r="J4" t="str" s="14">
        <v>add_artifact_exp</v>
      </c>
    </row>
    <row r="5" ht="16.5" customHeight="1">
      <c r="A5" t="str" s="14">
        <v>类型</v>
      </c>
      <c r="B5" t="str" s="14">
        <v>int</v>
      </c>
      <c r="C5" t="str" s="14">
        <v>string</v>
      </c>
      <c r="D5" t="str" s="14">
        <v>lang</v>
      </c>
      <c r="E5" t="str" s="14">
        <v>string</v>
      </c>
      <c r="F5" t="str" s="14">
        <v>string</v>
      </c>
      <c r="G5" t="str" s="14">
        <v>string</v>
      </c>
      <c r="H5" t="str" s="14">
        <v>string</v>
      </c>
      <c r="I5" t="str" s="14">
        <v>string</v>
      </c>
      <c r="J5" t="str" s="14">
        <v>int</v>
      </c>
    </row>
    <row r="6" ht="16.5" customHeight="1">
      <c r="A6" t="str" s="14">
        <v>逻辑检查</v>
      </c>
      <c r="B6" t="str" s="14">
        <v>$key</v>
      </c>
      <c r="C6" t="str" s="14">
        <v>uniq</v>
      </c>
      <c r="D6" s="14"/>
      <c r="E6" t="str" s="14">
        <v>ref(IconData)</v>
      </c>
      <c r="F6" t="str" s="14">
        <v>ref(QualityData)</v>
      </c>
      <c r="G6" t="str" s="14">
        <v>ref(ItemTypeData)</v>
      </c>
      <c r="H6" t="str" s="14">
        <v>ref(UnitData)</v>
      </c>
      <c r="I6" t="str" s="14">
        <v>ref(ArtifactData)</v>
      </c>
      <c r="J6" s="14"/>
    </row>
    <row r="7" ht="16.5" customHeight="1">
      <c r="B7" t="n" s="17">
        <v>40001</v>
      </c>
      <c r="C7" t="str" s="17">
        <v>临时英雄_1</v>
      </c>
      <c r="D7" t="str" s="17">
        <v>临时英雄_1</v>
      </c>
      <c r="E7" t="str" s="17">
        <v>临时英雄_1</v>
      </c>
      <c r="F7" t="str" s="17">
        <v>紫</v>
      </c>
      <c r="G7" t="str" s="17">
        <v>英雄</v>
      </c>
      <c r="H7" t="str" s="17">
        <v>临时英雄_1</v>
      </c>
    </row>
    <row r="8" ht="16.5" customHeight="1">
      <c r="B8" t="n" s="17">
        <v>40002</v>
      </c>
      <c r="C8" t="str" s="17">
        <v>临时英雄_2</v>
      </c>
      <c r="D8" t="str" s="17">
        <v>临时英雄_2</v>
      </c>
      <c r="E8" t="str" s="17">
        <v>临时英雄_2</v>
      </c>
      <c r="F8" t="str" s="17">
        <v>紫</v>
      </c>
      <c r="G8" t="str" s="17">
        <v>英雄</v>
      </c>
      <c r="H8" t="str" s="17">
        <v>临时英雄_2</v>
      </c>
    </row>
    <row r="9" ht="16.5" customHeight="1">
      <c r="B9" t="n" s="17">
        <v>40003</v>
      </c>
      <c r="C9" t="str" s="17">
        <v>临时英雄_3</v>
      </c>
      <c r="D9" t="str" s="17">
        <v>临时英雄_3</v>
      </c>
      <c r="E9" t="str" s="17">
        <v>临时英雄_3</v>
      </c>
      <c r="F9" t="str" s="17">
        <v>紫</v>
      </c>
      <c r="G9" t="str" s="17">
        <v>英雄</v>
      </c>
      <c r="H9" t="str" s="17">
        <v>临时英雄_3</v>
      </c>
    </row>
    <row r="10" ht="16.5" customHeight="1">
      <c r="B10" t="n" s="17">
        <v>40004</v>
      </c>
      <c r="C10" t="str" s="17">
        <v>临时英雄_4</v>
      </c>
      <c r="D10" t="str" s="17">
        <v>临时英雄_4</v>
      </c>
      <c r="E10" t="str" s="17">
        <v>临时英雄_4</v>
      </c>
      <c r="F10" t="str" s="17">
        <v>紫</v>
      </c>
      <c r="G10" t="str" s="17">
        <v>英雄</v>
      </c>
      <c r="H10" t="str" s="17">
        <v>临时英雄_4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workbookViewId="0">
      <selection activeCell="L13" sqref="L13"/>
    </sheetView>
  </sheetViews>
  <sheetFormatPr defaultColWidth="8.88888888888889" defaultRowHeight="16.5"/>
  <cols>
    <col min="1" max="1" width="18" hidden="0" customWidth="1"/>
    <col min="2" max="2" width="12" hidden="0" customWidth="1"/>
    <col min="3" max="3" width="32" hidden="0" customWidth="1"/>
    <col min="4" max="4" width="3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</cols>
  <sheetData>
    <row r="3" ht="16.5" customHeight="1">
      <c r="A3" t="str" s="15">
        <v>4.士兵</v>
      </c>
      <c r="B3" t="str" s="15">
        <v>编号</v>
      </c>
      <c r="C3" t="str" s="15">
        <v>检索名</v>
      </c>
      <c r="D3" t="str" s="15">
        <v>物品名称</v>
      </c>
      <c r="E3" t="str" s="15">
        <v>图标</v>
      </c>
      <c r="F3" t="str" s="15">
        <v>物品品质</v>
      </c>
      <c r="G3" t="str" s="15">
        <v>物品类型</v>
      </c>
      <c r="H3" t="str" s="15">
        <v>单位引用</v>
      </c>
      <c r="I3" t="str" s="15">
        <v>神器数据</v>
      </c>
      <c r="J3" t="str" s="15">
        <v>增加神器经验</v>
      </c>
    </row>
    <row r="4" ht="16.5" customHeight="1">
      <c r="A4" t="str" s="14">
        <v>ItemData</v>
      </c>
      <c r="B4" t="str" s="14">
        <v>id</v>
      </c>
      <c r="C4" t="str" s="14">
        <v>ch_key</v>
      </c>
      <c r="D4" t="str" s="14">
        <v>name</v>
      </c>
      <c r="E4" t="str" s="14">
        <v>icon</v>
      </c>
      <c r="F4" t="str" s="14">
        <v>quality</v>
      </c>
      <c r="G4" t="str" s="14">
        <v>type</v>
      </c>
      <c r="H4" t="str" s="14">
        <v>unit_id</v>
      </c>
      <c r="I4" t="str" s="14">
        <v>artifact_data</v>
      </c>
      <c r="J4" t="str" s="14">
        <v>add_artifact_exp</v>
      </c>
    </row>
    <row r="5" ht="16.5" customHeight="1">
      <c r="A5" t="str" s="14">
        <v>类型</v>
      </c>
      <c r="B5" t="str" s="14">
        <v>int</v>
      </c>
      <c r="C5" t="str" s="14">
        <v>string</v>
      </c>
      <c r="D5" t="str" s="14">
        <v>lang</v>
      </c>
      <c r="E5" t="str" s="14">
        <v>string</v>
      </c>
      <c r="F5" t="str" s="14">
        <v>string</v>
      </c>
      <c r="G5" t="str" s="14">
        <v>string</v>
      </c>
      <c r="H5" t="str" s="14">
        <v>string</v>
      </c>
      <c r="I5" t="str" s="14">
        <v>string</v>
      </c>
      <c r="J5" t="str" s="14">
        <v>int</v>
      </c>
    </row>
    <row r="6" ht="16.5" customHeight="1">
      <c r="A6" t="str" s="14">
        <v>逻辑检查</v>
      </c>
      <c r="B6" t="str" s="14">
        <v>$key</v>
      </c>
      <c r="C6" t="str" s="14">
        <v>uniq</v>
      </c>
      <c r="D6" s="14"/>
      <c r="E6" t="str" s="14">
        <v>ref(IconData)</v>
      </c>
      <c r="F6" t="str" s="14">
        <v>ref(QualityData)</v>
      </c>
      <c r="G6" t="str" s="14">
        <v>ref(ItemTypeData)</v>
      </c>
      <c r="H6" t="str" s="14">
        <v>ref(UnitData)</v>
      </c>
      <c r="I6" t="str" s="14">
        <v>ref(ArtifactData)</v>
      </c>
      <c r="J6" s="14"/>
    </row>
    <row r="7" ht="16.5" customHeight="1">
      <c r="B7" t="n" s="17">
        <v>41001</v>
      </c>
      <c r="C7" t="str" s="17">
        <v>临时小兵_1</v>
      </c>
      <c r="D7" t="str" s="17">
        <v>临时小兵_1</v>
      </c>
      <c r="E7" t="str" s="17">
        <v>临时小兵_1</v>
      </c>
      <c r="F7" t="str" s="17">
        <v>灰</v>
      </c>
      <c r="G7" t="str" s="17">
        <v>士兵</v>
      </c>
      <c r="H7" t="str" s="17">
        <v>临时小兵_1</v>
      </c>
    </row>
    <row r="8" ht="16.5" customHeight="1">
      <c r="B8" t="n" s="17">
        <v>41002</v>
      </c>
      <c r="C8" t="str" s="17">
        <v>临时小兵_2</v>
      </c>
      <c r="D8" t="str" s="17">
        <v>临时小兵_2</v>
      </c>
      <c r="E8" t="str" s="17">
        <v>临时小兵_2</v>
      </c>
      <c r="F8" t="str" s="17">
        <v>灰</v>
      </c>
      <c r="G8" t="str" s="17">
        <v>士兵</v>
      </c>
      <c r="H8" t="str" s="17">
        <v>临时小兵_2</v>
      </c>
    </row>
    <row r="9" ht="16.5" customHeight="1">
      <c r="B9" t="n" s="17">
        <v>41003</v>
      </c>
      <c r="C9" t="str" s="17">
        <v>临时小兵_3</v>
      </c>
      <c r="D9" t="str" s="17">
        <v>临时小兵_3</v>
      </c>
      <c r="E9" t="str" s="17">
        <v>临时小兵_3</v>
      </c>
      <c r="F9" t="str" s="17">
        <v>灰</v>
      </c>
      <c r="G9" t="str" s="17">
        <v>士兵</v>
      </c>
      <c r="H9" t="str" s="17">
        <v>临时小兵_3</v>
      </c>
    </row>
    <row r="10" ht="16.5" customHeight="1">
      <c r="B10" t="n" s="17">
        <v>41004</v>
      </c>
      <c r="C10" t="str" s="17">
        <v>临时小兵_4</v>
      </c>
      <c r="D10" t="str" s="17">
        <v>临时小兵_4</v>
      </c>
      <c r="E10" t="str" s="17">
        <v>临时小兵_4</v>
      </c>
      <c r="F10" t="str" s="17">
        <v>灰</v>
      </c>
      <c r="G10" t="str" s="17">
        <v>士兵</v>
      </c>
      <c r="H10" t="str" s="17">
        <v>临时小兵_4</v>
      </c>
    </row>
    <row r="11" ht="16.5" customHeight="1">
      <c r="B11" t="n" s="17">
        <v>41005</v>
      </c>
      <c r="C11" t="str" s="17">
        <v>临时小兵_5</v>
      </c>
      <c r="D11" t="str" s="17">
        <v>临时小兵_5</v>
      </c>
      <c r="E11" t="str" s="17">
        <v>临时小兵_5</v>
      </c>
      <c r="F11" t="str" s="17">
        <v>绿</v>
      </c>
      <c r="G11" t="str" s="17">
        <v>士兵</v>
      </c>
      <c r="H11" t="str" s="17">
        <v>临时小兵_5</v>
      </c>
    </row>
    <row r="12" ht="16.5" customHeight="1">
      <c r="B12" t="n" s="17">
        <v>41006</v>
      </c>
      <c r="C12" t="str" s="17">
        <v>临时小兵_6</v>
      </c>
      <c r="D12" t="str" s="17">
        <v>临时小兵_6</v>
      </c>
      <c r="E12" t="str" s="17">
        <v>临时小兵_6</v>
      </c>
      <c r="F12" t="str" s="17">
        <v>绿</v>
      </c>
      <c r="G12" t="str" s="17">
        <v>士兵</v>
      </c>
      <c r="H12" t="str" s="17">
        <v>临时小兵_6</v>
      </c>
    </row>
    <row r="13" ht="16.5" customHeight="1">
      <c r="B13" t="n" s="17">
        <v>41007</v>
      </c>
      <c r="C13" t="str" s="17">
        <v>临时小兵_7</v>
      </c>
      <c r="D13" t="str" s="17">
        <v>临时小兵_7</v>
      </c>
      <c r="E13" t="str" s="17">
        <v>临时小兵_7</v>
      </c>
      <c r="F13" t="str" s="17">
        <v>绿</v>
      </c>
      <c r="G13" t="str" s="17">
        <v>士兵</v>
      </c>
      <c r="H13" t="str" s="17">
        <v>临时小兵_7</v>
      </c>
    </row>
    <row r="14" ht="16.5" customHeight="1">
      <c r="B14" t="n" s="17">
        <v>41008</v>
      </c>
      <c r="C14" t="str" s="17">
        <v>临时小兵_8</v>
      </c>
      <c r="D14" t="str" s="17">
        <v>临时小兵_8</v>
      </c>
      <c r="E14" t="str" s="17">
        <v>临时小兵_8</v>
      </c>
      <c r="F14" t="str" s="17">
        <v>绿</v>
      </c>
      <c r="G14" t="str" s="17">
        <v>士兵</v>
      </c>
      <c r="H14" t="str" s="17">
        <v>临时小兵_8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workbookViewId="0">
      <selection activeCell="M9" sqref="M9"/>
    </sheetView>
  </sheetViews>
  <sheetFormatPr defaultColWidth="18" defaultRowHeight="16.5"/>
  <cols>
    <col min="1" max="1" width="8.55555555555556" style="1" customWidth="1"/>
    <col min="2" max="2" width="7.88888888888889" style="1" customWidth="1"/>
    <col min="3" max="3" width="28" style="1" customWidth="1"/>
    <col min="4" max="4" width="36" style="1" customWidth="1"/>
    <col min="5" max="5" width="13.0" style="1" customWidth="1"/>
    <col min="6" max="6" width="15.7777777777778" style="1" customWidth="1"/>
    <col min="7" max="7" width="16.5555555555556" style="1" customWidth="1"/>
    <col min="8" max="8" width="18.3333333333333" style="1" customWidth="1"/>
    <col min="9" max="9" width="8.66666666666667" style="1" customWidth="1"/>
    <col min="10" max="10" width="11.8888888888889" style="1" customWidth="1"/>
    <col min="11" max="11" width="10.1111111111111" style="1" customWidth="1"/>
    <col min="12" max="12" width="13.1111111111111" style="1" customWidth="1"/>
    <col min="13" max="13" width="14.0" style="1" customWidth="1"/>
    <col min="14" max="14" width="18.1111111111111" style="1" customWidth="1"/>
    <col min="15" max="15" width="24.3333333333333" style="1" customWidth="1"/>
    <col min="16" max="16382" width="18" style="1" customWidth="1"/>
    <col min="16383" max="16384" width="18" style="1"/>
  </cols>
  <sheetData>
    <row r="1" s="1" customFormat="1" spans="1:15">
      <c r="A1" s="4"/>
      <c r="B1" s="4"/>
      <c r="C1" s="4"/>
      <c r="D1" s="4"/>
      <c r="E1" s="4"/>
      <c r="F1" s="4" t="s">
        <v>75</v>
      </c>
      <c r="G1" s="4"/>
      <c r="H1" s="4"/>
      <c r="I1" s="4"/>
      <c r="J1" s="4"/>
    </row>
    <row r="2" s="1" customFormat="1" spans="1:15">
      <c r="A2" s="4"/>
      <c r="B2" s="4"/>
      <c r="C2" s="4"/>
      <c r="D2" s="4"/>
      <c r="E2" s="4"/>
      <c r="F2" s="4"/>
      <c r="G2" s="4"/>
      <c r="H2" s="4"/>
      <c r="I2" s="4"/>
      <c r="J2" s="4"/>
    </row>
    <row r="3" s="2" customFormat="1" ht="15" spans="1:15">
      <c r="A3" s="5" t="s">
        <v>36</v>
      </c>
      <c r="B3" s="5" t="s">
        <v>76</v>
      </c>
      <c r="C3" s="5" t="s">
        <v>77</v>
      </c>
      <c r="D3" s="6" t="s">
        <v>37</v>
      </c>
      <c r="E3" s="6" t="s">
        <v>38</v>
      </c>
      <c r="F3" s="6" t="s">
        <v>39</v>
      </c>
      <c r="G3" s="6" t="s">
        <v>40</v>
      </c>
      <c r="H3" s="6" t="s">
        <v>41</v>
      </c>
      <c r="I3" s="6" t="s">
        <v>78</v>
      </c>
      <c r="J3" s="6" t="s">
        <v>79</v>
      </c>
      <c r="K3" s="2" t="s">
        <v>80</v>
      </c>
      <c r="L3" s="2" t="s">
        <v>81</v>
      </c>
      <c r="M3" s="2" t="s">
        <v>82</v>
      </c>
      <c r="N3" s="2" t="s">
        <v>83</v>
      </c>
      <c r="O3" s="2" t="s">
        <v>84</v>
      </c>
    </row>
    <row r="4" s="3" customFormat="1" spans="1:15">
      <c r="A4" s="7" t="s">
        <v>42</v>
      </c>
      <c r="B4" s="7" t="s">
        <v>7</v>
      </c>
      <c r="C4" s="7" t="s">
        <v>8</v>
      </c>
      <c r="D4" s="8" t="s">
        <v>9</v>
      </c>
      <c r="E4" s="8" t="s">
        <v>43</v>
      </c>
      <c r="F4" s="8" t="s">
        <v>44</v>
      </c>
      <c r="G4" s="8" t="s">
        <v>45</v>
      </c>
      <c r="H4" s="8" t="s">
        <v>46</v>
      </c>
      <c r="I4" s="8" t="s">
        <v>85</v>
      </c>
      <c r="J4" s="8" t="s">
        <v>63</v>
      </c>
      <c r="K4" s="3" t="s">
        <v>86</v>
      </c>
      <c r="L4" s="3" t="s">
        <v>87</v>
      </c>
      <c r="M4" s="3" t="s">
        <v>88</v>
      </c>
      <c r="N4" s="3" t="s">
        <v>89</v>
      </c>
      <c r="O4" s="3" t="s">
        <v>90</v>
      </c>
    </row>
    <row r="5" s="3" customFormat="1" spans="1:15">
      <c r="A5" s="7"/>
      <c r="B5" s="7" t="s">
        <v>13</v>
      </c>
      <c r="C5" s="7" t="s">
        <v>14</v>
      </c>
      <c r="D5" s="8" t="s">
        <v>15</v>
      </c>
      <c r="E5" s="8" t="s">
        <v>15</v>
      </c>
      <c r="F5" s="8" t="s">
        <v>14</v>
      </c>
      <c r="G5" s="8" t="s">
        <v>14</v>
      </c>
      <c r="H5" s="8" t="s">
        <v>14</v>
      </c>
      <c r="I5" s="8" t="s">
        <v>13</v>
      </c>
      <c r="J5" s="8" t="s">
        <v>14</v>
      </c>
      <c r="K5" s="3" t="s">
        <v>13</v>
      </c>
      <c r="L5" s="3" t="s">
        <v>14</v>
      </c>
      <c r="M5" s="3" t="s">
        <v>13</v>
      </c>
      <c r="N5" s="3" t="s">
        <v>13</v>
      </c>
      <c r="O5" s="3" t="s">
        <v>14</v>
      </c>
    </row>
    <row r="6" s="3" customFormat="1" spans="1:15">
      <c r="A6" s="7"/>
      <c r="B6" s="7" t="s">
        <v>17</v>
      </c>
      <c r="C6" s="7"/>
      <c r="D6" s="8"/>
      <c r="E6" s="8"/>
      <c r="F6" s="8" t="s">
        <v>47</v>
      </c>
      <c r="G6" s="8" t="s">
        <v>48</v>
      </c>
      <c r="H6" s="8" t="s">
        <v>49</v>
      </c>
      <c r="I6" s="8"/>
      <c r="J6" s="8" t="s">
        <v>19</v>
      </c>
      <c r="L6" s="3" t="s">
        <v>91</v>
      </c>
      <c r="O6" s="3" t="s">
        <v>92</v>
      </c>
    </row>
    <row r="7" s="1" customFormat="1" spans="1:15" ht="33.0" customHeight="1">
      <c r="A7" s="9"/>
      <c r="B7" s="18" t="n">
        <v>22001</v>
      </c>
      <c r="C7" s="18" t="str">
        <v>装备强化石</v>
      </c>
      <c r="D7" s="18" t="str">
        <v>装备强化石</v>
      </c>
      <c r="E7" s="9"/>
      <c r="F7" s="18" t="str">
        <v>道具</v>
      </c>
      <c r="G7" s="18" t="str">
        <v>装备强化材料</v>
      </c>
      <c r="H7" s="18" t="str">
        <v>蓝</v>
      </c>
      <c r="J7" t="str" s="21">
        <v>装备强化石</v>
      </c>
      <c r="M7" t="n" s="20">
        <v>10</v>
      </c>
    </row>
    <row r="8" s="1" customFormat="1" spans="1:15" ht="33.0" customHeight="1">
      <c r="A8" s="9"/>
      <c r="B8" s="18" t="n">
        <v>30001</v>
      </c>
      <c r="C8" s="18" t="str">
        <v>临时新手_头盔</v>
      </c>
      <c r="D8" s="18" t="str">
        <v>临时新手_头盔</v>
      </c>
      <c r="E8" s="9"/>
      <c r="F8" s="18" t="str">
        <v>装备</v>
      </c>
      <c r="G8" s="18" t="str">
        <v>装备</v>
      </c>
      <c r="H8" s="18" t="str">
        <v>灰</v>
      </c>
      <c r="J8" t="str" s="21">
        <v>临时新手_头盔</v>
      </c>
      <c r="L8" t="str" s="21">
        <v>临时新手_头盔</v>
      </c>
      <c r="M8" t="n" s="20">
        <v>10</v>
      </c>
    </row>
    <row r="9" s="1" customFormat="1" spans="1:15" ht="33.0" customHeight="1">
      <c r="A9" s="9"/>
      <c r="B9" s="18" t="n">
        <v>30002</v>
      </c>
      <c r="C9" s="18" t="str">
        <v>临时新手_衣服</v>
      </c>
      <c r="D9" s="18" t="str">
        <v>临时新手_衣服</v>
      </c>
      <c r="E9" s="9"/>
      <c r="F9" s="18" t="str">
        <v>装备</v>
      </c>
      <c r="G9" s="18" t="str">
        <v>装备</v>
      </c>
      <c r="H9" s="18" t="str">
        <v>灰</v>
      </c>
      <c r="J9" t="str" s="21">
        <v>临时新手_衣服</v>
      </c>
      <c r="L9" t="str" s="21">
        <v>临时新手_衣服</v>
      </c>
      <c r="M9" t="n" s="20">
        <v>10</v>
      </c>
    </row>
    <row r="10" s="1" customFormat="1" spans="1:15" ht="33.0" customHeight="1">
      <c r="A10" s="9"/>
      <c r="B10" s="18" t="n">
        <v>30003</v>
      </c>
      <c r="C10" s="18" t="str">
        <v>临时新手_武器</v>
      </c>
      <c r="D10" s="18" t="str">
        <v>临时新手_武器</v>
      </c>
      <c r="E10" s="9"/>
      <c r="F10" s="18" t="str">
        <v>装备</v>
      </c>
      <c r="G10" s="18" t="str">
        <v>装备</v>
      </c>
      <c r="H10" s="18" t="str">
        <v>灰</v>
      </c>
      <c r="J10" t="str" s="21">
        <v>临时新手_武器</v>
      </c>
      <c r="L10" t="str" s="21">
        <v>临时新手_武器</v>
      </c>
      <c r="M10" t="n" s="20">
        <v>10</v>
      </c>
    </row>
    <row r="11" s="1" customFormat="1" spans="1:15" ht="33.0" customHeight="1">
      <c r="A11" s="9"/>
      <c r="B11" s="18" t="n">
        <v>30004</v>
      </c>
      <c r="C11" s="18" t="str">
        <v>临时新手_鞋子</v>
      </c>
      <c r="D11" s="18" t="str">
        <v>临时新手_鞋子</v>
      </c>
      <c r="E11" s="9"/>
      <c r="F11" s="18" t="str">
        <v>装备</v>
      </c>
      <c r="G11" s="18" t="str">
        <v>装备</v>
      </c>
      <c r="H11" s="18" t="str">
        <v>灰</v>
      </c>
      <c r="J11" t="str" s="21">
        <v>临时新手_鞋子</v>
      </c>
      <c r="L11" t="str" s="21">
        <v>临时新手_鞋子</v>
      </c>
      <c r="M11" t="n" s="20">
        <v>10</v>
      </c>
    </row>
    <row r="12" s="1" customFormat="1" spans="1:15" ht="33.0" customHeight="1">
      <c r="B12" s="18" t="n">
        <v>30005</v>
      </c>
      <c r="C12" s="20" t="str">
        <v>临时守卫_头盔</v>
      </c>
      <c r="D12" t="str" s="18">
        <v>临时守卫_头盔</v>
      </c>
      <c r="F12" t="str" s="18">
        <v>装备</v>
      </c>
      <c r="G12" s="18" t="str">
        <v>装备</v>
      </c>
      <c r="H12" t="str" s="18">
        <v>蓝</v>
      </c>
      <c r="J12" t="str" s="21">
        <v>临时守卫_头盔</v>
      </c>
      <c r="L12" t="str" s="21">
        <v>临时守卫_头盔</v>
      </c>
      <c r="M12" t="n" s="20">
        <v>40</v>
      </c>
    </row>
    <row r="13" s="1" customFormat="1" spans="1:15" ht="33.0" customHeight="1">
      <c r="B13" s="18" t="n">
        <v>30006</v>
      </c>
      <c r="C13" s="20" t="str">
        <v>临时守卫_衣服</v>
      </c>
      <c r="D13" t="str" s="18">
        <v>临时守卫_衣服</v>
      </c>
      <c r="F13" t="str" s="18">
        <v>装备</v>
      </c>
      <c r="G13" s="18" t="str">
        <v>装备</v>
      </c>
      <c r="H13" t="str" s="18">
        <v>蓝</v>
      </c>
      <c r="J13" t="str" s="21">
        <v>临时守卫_衣服</v>
      </c>
      <c r="L13" t="str" s="21">
        <v>临时守卫_衣服</v>
      </c>
      <c r="M13" t="n" s="20">
        <v>40</v>
      </c>
    </row>
    <row r="14" s="1" customFormat="1" spans="1:15" ht="33.0" customHeight="1">
      <c r="B14" s="18" t="n">
        <v>30007</v>
      </c>
      <c r="C14" s="20" t="str">
        <v>临时守卫_武器</v>
      </c>
      <c r="D14" t="str" s="18">
        <v>临时守卫_武器</v>
      </c>
      <c r="F14" t="str" s="18">
        <v>装备</v>
      </c>
      <c r="G14" s="18" t="str">
        <v>装备</v>
      </c>
      <c r="H14" t="str" s="18">
        <v>蓝</v>
      </c>
      <c r="J14" t="str" s="21">
        <v>临时守卫_武器</v>
      </c>
      <c r="L14" t="str" s="21">
        <v>临时守卫_武器</v>
      </c>
      <c r="M14" t="n" s="20">
        <v>40</v>
      </c>
    </row>
    <row r="15" s="1" customFormat="1" spans="1:15" ht="33.0" customHeight="1">
      <c r="B15" s="18" t="n">
        <v>30008</v>
      </c>
      <c r="C15" t="str" s="18">
        <v>临时守卫_鞋子</v>
      </c>
      <c r="D15" t="str" s="18">
        <v>临时守卫_鞋子</v>
      </c>
      <c r="F15" t="str" s="18">
        <v>装备</v>
      </c>
      <c r="G15" t="str" s="18">
        <v>装备</v>
      </c>
      <c r="H15" t="str" s="18">
        <v>蓝</v>
      </c>
      <c r="J15" t="str" s="21">
        <v>临时守卫_鞋子</v>
      </c>
      <c r="L15" t="str" s="21">
        <v>临时守卫_鞋子</v>
      </c>
      <c r="M15" t="n" s="20">
        <v>40</v>
      </c>
    </row>
    <row r="16" s="1" customFormat="1" spans="1:15">
      <c r="B16" s="9"/>
    </row>
    <row r="17" s="1" customFormat="1" spans="2:2">
      <c r="B17" s="9"/>
    </row>
    <row r="18" s="1" customFormat="1" spans="2:2">
      <c r="B18" s="9"/>
    </row>
    <row r="19" s="1" customFormat="1" spans="2:2">
      <c r="B19" s="9"/>
    </row>
    <row r="20" s="1" customFormat="1" spans="2:2">
      <c r="B20" s="9"/>
    </row>
    <row r="21" s="1" customFormat="1" spans="2:2">
      <c r="B21" s="9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8.88888888888889" defaultRowHeight="16.5"/>
  <cols>
    <col min="1" max="1" width="18" hidden="0" customWidth="1"/>
    <col min="2" max="2" width="12" hidden="0" customWidth="1"/>
    <col min="3" max="3" width="32" hidden="0" customWidth="1"/>
    <col min="4" max="4" width="3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</cols>
  <sheetData>
    <row r="3" ht="16.5" customHeight="1">
      <c r="A3" t="str" s="15">
        <v>6.神器</v>
      </c>
      <c r="B3" t="str" s="15">
        <v>编号</v>
      </c>
      <c r="C3" t="str" s="15">
        <v>检索名</v>
      </c>
      <c r="D3" t="str" s="15">
        <v>物品名称</v>
      </c>
      <c r="E3" t="str" s="15">
        <v>图标</v>
      </c>
      <c r="F3" t="str" s="15">
        <v>物品品质</v>
      </c>
      <c r="G3" t="str" s="15">
        <v>物品类型</v>
      </c>
      <c r="H3" t="str" s="15">
        <v>单位引用</v>
      </c>
      <c r="I3" t="str" s="15">
        <v>神器数据</v>
      </c>
      <c r="J3" t="str" s="15">
        <v>增加神器经验</v>
      </c>
      <c r="K3" t="str" s="15">
        <v>背包分页</v>
      </c>
    </row>
    <row r="4" ht="16.5" customHeight="1">
      <c r="A4" t="str" s="14">
        <v>ItemData</v>
      </c>
      <c r="B4" t="str" s="14">
        <v>id</v>
      </c>
      <c r="C4" t="str" s="14">
        <v>ch_key</v>
      </c>
      <c r="D4" t="str" s="14">
        <v>name</v>
      </c>
      <c r="E4" t="str" s="14">
        <v>icon</v>
      </c>
      <c r="F4" t="str" s="14">
        <v>quality</v>
      </c>
      <c r="G4" t="str" s="14">
        <v>type</v>
      </c>
      <c r="H4" t="str" s="14">
        <v>unit_id</v>
      </c>
      <c r="I4" t="str" s="14">
        <v>artifact_data</v>
      </c>
      <c r="J4" t="str" s="14">
        <v>add_artifact_exp</v>
      </c>
      <c r="K4" t="str" s="14">
        <v>bag_page</v>
      </c>
    </row>
    <row r="5" ht="16.5" customHeight="1">
      <c r="A5" t="str" s="14">
        <v>类型</v>
      </c>
      <c r="B5" t="str" s="14">
        <v>int</v>
      </c>
      <c r="C5" t="str" s="14">
        <v>string</v>
      </c>
      <c r="D5" t="str" s="14">
        <v>lang</v>
      </c>
      <c r="E5" t="str" s="14">
        <v>string</v>
      </c>
      <c r="F5" t="str" s="14">
        <v>string</v>
      </c>
      <c r="G5" t="str" s="14">
        <v>string</v>
      </c>
      <c r="H5" t="str" s="14">
        <v>string</v>
      </c>
      <c r="I5" t="str" s="14">
        <v>string</v>
      </c>
      <c r="J5" t="str" s="14">
        <v>int</v>
      </c>
      <c r="K5" t="str" s="14">
        <v>string</v>
      </c>
    </row>
    <row r="6" ht="16.5" customHeight="1">
      <c r="A6" t="str" s="14">
        <v>逻辑检查</v>
      </c>
      <c r="B6" t="str" s="14">
        <v>$key</v>
      </c>
      <c r="C6" t="str" s="14">
        <v>uniq</v>
      </c>
      <c r="D6" s="14"/>
      <c r="E6" t="str" s="14">
        <v>ref(IconData)</v>
      </c>
      <c r="F6" t="str" s="14">
        <v>ref(QualityData)</v>
      </c>
      <c r="G6" t="str" s="14">
        <v>ref(ItemTypeData)</v>
      </c>
      <c r="H6" t="str" s="14">
        <v>ref(UnitData)</v>
      </c>
      <c r="I6" t="str" s="14">
        <v>ref(ArtifactData)</v>
      </c>
      <c r="J6" s="14"/>
      <c r="K6" t="str" s="14">
        <v>ref(BagPageData)</v>
      </c>
    </row>
    <row r="7" ht="16.5" customHeight="1">
      <c r="B7" t="n" s="17">
        <v>23001</v>
      </c>
      <c r="C7" t="str" s="17">
        <v>神器经验石</v>
      </c>
      <c r="D7" t="str" s="17">
        <v>神器经验石</v>
      </c>
      <c r="E7" t="str" s="17">
        <v>神器经验石</v>
      </c>
      <c r="F7" t="str" s="17">
        <v>蓝</v>
      </c>
      <c r="G7" t="str" s="17">
        <v>神器强化材料</v>
      </c>
      <c r="J7" t="n" s="17">
        <v>10</v>
      </c>
      <c r="K7" t="str" s="17">
        <v>道具</v>
      </c>
    </row>
    <row r="8" ht="16.5" customHeight="1">
      <c r="B8" t="n" s="17">
        <v>24001</v>
      </c>
      <c r="C8" t="str" s="17">
        <v>临时统御徽记</v>
      </c>
      <c r="D8" t="str" s="17">
        <v>临时统御徽记</v>
      </c>
      <c r="E8" t="str" s="17">
        <v>临时统御徽记</v>
      </c>
      <c r="F8" t="str" s="17">
        <v>紫</v>
      </c>
      <c r="G8" t="str" s="17">
        <v>神器</v>
      </c>
      <c r="I8" t="str" s="17">
        <v>临时统御徽记</v>
      </c>
      <c r="J8" t="n" s="17">
        <v>100</v>
      </c>
      <c r="K8" t="str" s="17">
        <v>神器</v>
      </c>
    </row>
    <row r="9" ht="16.5" customHeight="1">
      <c r="B9" t="n" s="17">
        <v>24002</v>
      </c>
      <c r="C9" t="str" s="17">
        <v>临时守望旗帜</v>
      </c>
      <c r="D9" t="str" s="17">
        <v>临时守望旗帜</v>
      </c>
      <c r="E9" t="str" s="17">
        <v>临时守望旗帜</v>
      </c>
      <c r="F9" t="str" s="17">
        <v>紫</v>
      </c>
      <c r="G9" t="str" s="17">
        <v>神器</v>
      </c>
      <c r="I9" t="str" s="17">
        <v>临时守望旗帜</v>
      </c>
      <c r="J9" t="n" s="17">
        <v>100</v>
      </c>
      <c r="K9" t="str" s="17">
        <v>神器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Q6" sqref="Q6"/>
    </sheetView>
  </sheetViews>
  <sheetFormatPr defaultColWidth="8.88888888888889" defaultRowHeight="16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物品类型表(ItemTypeData)</vt:lpstr>
      <vt:lpstr>物品表1.货币</vt:lpstr>
      <vt:lpstr>2.道具</vt:lpstr>
      <vt:lpstr>3.英雄</vt:lpstr>
      <vt:lpstr>4.士兵</vt:lpstr>
      <vt:lpstr>5.装备</vt:lpstr>
      <vt:lpstr>6.神器</vt:lpstr>
      <vt:lpstr>7.礼包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灿</cp:lastModifiedBy>
  <dcterms:created xsi:type="dcterms:W3CDTF">2026-09-04T10:51:00Z</dcterms:created>
  <dcterms:modified xsi:type="dcterms:W3CDTF">2026-09-20T03:11:46Z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E672F7EA407040F68F684910351DE327_12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