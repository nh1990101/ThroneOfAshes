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单位表(UnitData)" sheetId="1" r:id="rId1"/>
    <sheet name="单位类型表(UnitTypeData)" sheetId="2" r:id="rId2"/>
    <sheet name="单位阵营表(FactionData)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<sst xmlns="http://schemas.openxmlformats.org/spreadsheetml/2006/main" count="441" uniqueCount="166">
  <si>
    <t>英雄不用配置</t>
  </si>
  <si>
    <t>英雄称号：可选；未配置不显示，小兵留空。</t>
  </si>
  <si>
    <t>命名规则：类型id+阵营id+三位数id+进化分支id</t>
  </si>
  <si>
    <t>1:地面；2:飞行</t>
  </si>
  <si>
    <t>配置格子数量</t>
  </si>
  <si>
    <t>1:近战；
2:远程</t>
  </si>
  <si>
    <t>为空表示无限距离</t>
  </si>
  <si>
    <t>英雄、小兵均适用
初始星级仅英雄生效</t>
  </si>
  <si>
    <t>仅TRUE开放；名单待配置</t>
  </si>
  <si>
    <t>具备资格且达星级显示</t>
  </si>
  <si>
    <t>解锁星级与功能同时满足</t>
  </si>
  <si>
    <t>单位表</t>
  </si>
  <si>
    <t>单位编号</t>
  </si>
  <si>
    <t>检索名</t>
  </si>
  <si>
    <t>单位名称</t>
  </si>
  <si>
    <t>单位类型</t>
  </si>
  <si>
    <t>单位阵营</t>
  </si>
  <si>
    <t>单位图标</t>
  </si>
  <si>
    <t>单位立绘</t>
  </si>
  <si>
    <t>单位说明</t>
  </si>
  <si>
    <t>攻击时间</t>
  </si>
  <si>
    <t>移动类型</t>
  </si>
  <si>
    <t>移动距离</t>
  </si>
  <si>
    <t>攻击类型</t>
  </si>
  <si>
    <t>攻击距离</t>
  </si>
  <si>
    <t>所需统率值</t>
  </si>
  <si>
    <t>普通攻击</t>
  </si>
  <si>
    <t>怒气技能</t>
  </si>
  <si>
    <t>普通技能</t>
  </si>
  <si>
    <t>是否隐藏</t>
  </si>
  <si>
    <t>稀有度</t>
  </si>
  <si>
    <t>单位品质</t>
  </si>
  <si>
    <t>英雄称号</t>
  </si>
  <si>
    <t>神器开放资格</t>
  </si>
  <si>
    <t>神器预览星级</t>
  </si>
  <si>
    <t>神器解锁星级</t>
  </si>
  <si>
    <t>UnitData</t>
  </si>
  <si>
    <t>id</t>
  </si>
  <si>
    <t>ch_key</t>
  </si>
  <si>
    <t>name</t>
  </si>
  <si>
    <t>unit_type</t>
  </si>
  <si>
    <t>faction_id</t>
  </si>
  <si>
    <t>icon</t>
  </si>
  <si>
    <t>portrait</t>
  </si>
  <si>
    <t>desc</t>
  </si>
  <si>
    <t>attack_during</t>
  </si>
  <si>
    <t>move_type</t>
  </si>
  <si>
    <t>move_distance</t>
  </si>
  <si>
    <t>attack_type</t>
  </si>
  <si>
    <t>attack_distance</t>
  </si>
  <si>
    <t>need_bonus</t>
  </si>
  <si>
    <t>attack</t>
  </si>
  <si>
    <t>anger_skill</t>
  </si>
  <si>
    <t>nomal_skill</t>
  </si>
  <si>
    <t>is_hidden</t>
  </si>
  <si>
    <t>rarity_id</t>
  </si>
  <si>
    <t>quality_id</t>
  </si>
  <si>
    <t>title</t>
  </si>
  <si>
    <t>artifact_open</t>
  </si>
  <si>
    <t>artifact_preview_star</t>
  </si>
  <si>
    <t>artifact_unlock_star</t>
  </si>
  <si>
    <t>类型</t>
  </si>
  <si>
    <t>int</t>
  </si>
  <si>
    <t>string</t>
  </si>
  <si>
    <t>lang</t>
  </si>
  <si>
    <t>float</t>
  </si>
  <si>
    <t>string_list</t>
  </si>
  <si>
    <t>bool</t>
  </si>
  <si>
    <t>逻辑检查</t>
  </si>
  <si>
    <t>$key</t>
  </si>
  <si>
    <t>uniq</t>
  </si>
  <si>
    <t>ref(UnitTypeData)</t>
  </si>
  <si>
    <t>ref(FactionData)</t>
  </si>
  <si>
    <t>ref(IconData)</t>
  </si>
  <si>
    <t>ref_group(SkillData)</t>
  </si>
  <si>
    <t>ref(UnitRateData)</t>
  </si>
  <si>
    <t>ref(QualityData)</t>
  </si>
  <si>
    <t/>
  </si>
  <si>
    <t>盾卫步兵</t>
  </si>
  <si>
    <t>小兵</t>
  </si>
  <si>
    <t>圣堂</t>
  </si>
  <si>
    <t>单位图标_临时小兵_1</t>
  </si>
  <si>
    <t>单位立绘_临时小兵_1</t>
  </si>
  <si>
    <t>$Lang$单位说明_临时小兵_1</t>
  </si>
  <si>
    <t>临时小兵近战普攻</t>
  </si>
  <si>
    <t>R</t>
  </si>
  <si>
    <t>灰</t>
  </si>
  <si>
    <t>弓射手</t>
  </si>
  <si>
    <t>临时小兵远程普攻</t>
  </si>
  <si>
    <t>铁甲卫</t>
  </si>
  <si>
    <t>SR</t>
  </si>
  <si>
    <t>绿</t>
  </si>
  <si>
    <t>银翼狮鹫</t>
  </si>
  <si>
    <t>SSR</t>
  </si>
  <si>
    <t>蓝</t>
  </si>
  <si>
    <t>圣光修士</t>
  </si>
  <si>
    <t>SSSR</t>
  </si>
  <si>
    <t>紫</t>
  </si>
  <si>
    <t>铁戟骑士</t>
  </si>
  <si>
    <t>圣翼使徒</t>
  </si>
  <si>
    <t>UR</t>
  </si>
  <si>
    <t>金</t>
  </si>
  <si>
    <t>骸弓兵</t>
  </si>
  <si>
    <t>墓园</t>
  </si>
  <si>
    <t>腐烂行尸</t>
  </si>
  <si>
    <t>噬灵幽魂</t>
  </si>
  <si>
    <t>吸血鬼</t>
  </si>
  <si>
    <t>亡骨巫祭</t>
  </si>
  <si>
    <t>黑骑士</t>
  </si>
  <si>
    <t>骸骨巨龙</t>
  </si>
  <si>
    <t>暗行斥候</t>
  </si>
  <si>
    <t>地牢</t>
  </si>
  <si>
    <t>血祭少女</t>
  </si>
  <si>
    <t>牛斗士</t>
  </si>
  <si>
    <t>幽暗女巫</t>
  </si>
  <si>
    <t>蜥蜴掠骑</t>
  </si>
  <si>
    <t>多头蛇蜥</t>
  </si>
  <si>
    <t>暗影龙</t>
  </si>
  <si>
    <t>藤牌兵</t>
  </si>
  <si>
    <t>神机</t>
  </si>
  <si>
    <t>鸟铳手</t>
  </si>
  <si>
    <t>狼筅卫</t>
  </si>
  <si>
    <t>神火飞鸦</t>
  </si>
  <si>
    <t>火炮尉</t>
  </si>
  <si>
    <t>连环铳骑</t>
  </si>
  <si>
    <t>鎏金炎龙</t>
  </si>
  <si>
    <t>临时小兵_1</t>
  </si>
  <si>
    <t>临时小兵_2</t>
  </si>
  <si>
    <t>临时小兵_3</t>
  </si>
  <si>
    <t>临时小兵_4</t>
  </si>
  <si>
    <t>临时英雄_1</t>
  </si>
  <si>
    <t>$Lang$临时英雄_1</t>
  </si>
  <si>
    <t>英雄</t>
  </si>
  <si>
    <t>单位图标_临时英雄_1</t>
  </si>
  <si>
    <t>单位立绘_临时英雄_1</t>
  </si>
  <si>
    <t>$Lang$临时英雄_1_说明</t>
  </si>
  <si>
    <t>临时英雄普攻</t>
  </si>
  <si>
    <t>临时英雄_1_技能1</t>
  </si>
  <si>
    <t>临时英雄_1_技能2</t>
  </si>
  <si>
    <t>临时英雄_2</t>
  </si>
  <si>
    <t>$Lang$临时英雄_2</t>
  </si>
  <si>
    <t>单位图标_临时英雄_2</t>
  </si>
  <si>
    <t>单位立绘_临时英雄_2</t>
  </si>
  <si>
    <t>$Lang$临时英雄_2_说明</t>
  </si>
  <si>
    <t>临时英雄_3</t>
  </si>
  <si>
    <t>$Lang$临时英雄_3</t>
  </si>
  <si>
    <t>单位图标_临时英雄_3</t>
  </si>
  <si>
    <t>单位立绘_临时英雄_3</t>
  </si>
  <si>
    <t>$Lang$临时英雄_3_说明</t>
  </si>
  <si>
    <t>临时英雄_4</t>
  </si>
  <si>
    <t>$Lang$临时英雄_4</t>
  </si>
  <si>
    <t>单位图标_临时英雄_4</t>
  </si>
  <si>
    <t>单位立绘_临时英雄_4</t>
  </si>
  <si>
    <t>$Lang$临时英雄_4_说明</t>
  </si>
  <si>
    <t>单位类型表</t>
  </si>
  <si>
    <t>类型编号</t>
  </si>
  <si>
    <t>UnitTypeData</t>
  </si>
  <si>
    <t>阵营图标：引用图标资源，待配置不代表正式资源。</t>
  </si>
  <si>
    <t>单位阵营表</t>
  </si>
  <si>
    <t>编号</t>
  </si>
  <si>
    <t>阵营图标</t>
  </si>
  <si>
    <t>FactionData</t>
  </si>
  <si>
    <t>阵营图标_圣堂</t>
  </si>
  <si>
    <t>阵营图标_墓园</t>
  </si>
  <si>
    <t>阵营图标_地牢</t>
  </si>
  <si>
    <t>阵营图标_神机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</si>
</sst>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1" tint="0.35"/>
      <name val="微软雅黑"/>
      <charset val="134"/>
    </font>
    <font>
      <b/>
      <sz val="11"/>
      <color theme="6" tint="0.4"/>
      <name val="微软雅黑"/>
      <charset val="134"/>
    </font>
    <font>
      <b/>
      <sz val="11"/>
      <color rgb="FF00B0F0"/>
      <name val="微软雅黑"/>
      <charset val="134"/>
    </font>
    <font>
      <b/>
      <sz val="11"/>
      <color rgb="FF7030A0"/>
      <name val="微软雅黑"/>
      <charset val="134"/>
    </font>
    <font>
      <b/>
      <sz val="11"/>
      <color rgb="FFFFC000"/>
      <name val="微软雅黑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6C6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shrinkToFit="1"/>
    </xf>
    <xf numFmtId="0" fontId="3" fillId="3" borderId="2" xfId="0" applyNumberFormat="1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6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/>
    </xf>
    <xf numFmtId="0" fontId="8" fillId="0" borderId="0" xfId="49" applyFont="1" applyAlignment="1">
      <alignment horizontal="center" vertical="center"/>
    </xf>
    <xf numFmtId="0" fontId="9" fillId="0" borderId="0" xfId="49" applyFont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4" fillId="0" borderId="0" xfId="49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2"/>
  <sheetViews>
    <sheetView tabSelected="1" workbookViewId="0">
      <pane xSplit="3" ySplit="6" topLeftCell="D7" activePane="bottomRight" state="frozen"/>
      <selection/>
      <selection pane="topRight"/>
      <selection pane="bottomLeft"/>
      <selection pane="bottomRight" activeCell="K17" sqref="K17"/>
    </sheetView>
  </sheetViews>
  <sheetFormatPr defaultColWidth="9" defaultRowHeight="16.5"/>
  <cols>
    <col min="1" max="1" width="8.22222222222222" style="1" customWidth="1"/>
    <col min="2" max="2" width="13" style="1" customWidth="1"/>
    <col min="3" max="3" width="9.66666666666667" style="1" customWidth="1"/>
    <col min="4" max="4" width="16.4444444444444" style="1" customWidth="1"/>
    <col min="5" max="5" width="16.1111111111111" style="1" customWidth="1"/>
    <col min="6" max="6" width="14.5555555555556" style="1" customWidth="1"/>
    <col min="7" max="8" width="17.8888888888889" style="1" customWidth="1"/>
    <col min="9" max="9" width="22.6666666666667" style="1" customWidth="1"/>
    <col min="10" max="10" width="12.4444444444444" style="1" customWidth="1"/>
    <col min="11" max="11" width="12.7777777777778" style="1" customWidth="1"/>
    <col min="12" max="12" width="13.6666666666667" style="1" customWidth="1"/>
    <col min="13" max="13" width="12.7777777777778" style="1" customWidth="1"/>
    <col min="14" max="14" width="15" style="1" customWidth="1"/>
    <col min="15" max="15" width="11.2222222222222" style="1" customWidth="1"/>
    <col min="16" max="18" width="18" style="1" customWidth="1"/>
    <col min="19" max="19" width="8.88888888888889" style="1" customWidth="1"/>
    <col min="20" max="20" width="31.5555555555556" style="1" customWidth="1"/>
    <col min="21" max="21" width="14.3333333333333" style="1" customWidth="1"/>
    <col min="22" max="22" width="37" style="1" customWidth="1"/>
    <col min="23" max="23" width="21.5555555555556" customWidth="1"/>
    <col min="24" max="24" width="18.6666666666667" customWidth="1"/>
    <col min="25" max="25" width="20.5555555555556" customWidth="1"/>
    <col min="26" max="30" width="9" style="1" customWidth="1"/>
  </cols>
  <sheetData>
    <row r="1" spans="1:25">
      <c r="A1" s="3"/>
      <c r="B1" s="3"/>
      <c r="C1" s="3"/>
      <c r="D1" s="3"/>
      <c r="E1" s="3"/>
      <c r="F1" s="3"/>
      <c r="G1" s="3"/>
      <c r="H1" s="3"/>
      <c r="I1" s="3"/>
      <c r="J1" s="3" t="s">
        <v>0</v>
      </c>
      <c r="K1" s="3"/>
      <c r="L1" s="3"/>
      <c r="M1" s="3" t="s">
        <v>0</v>
      </c>
      <c r="N1" s="3"/>
      <c r="O1" s="3"/>
      <c r="P1" s="3"/>
      <c r="Q1" s="3"/>
      <c r="R1" s="3"/>
      <c r="S1" s="3"/>
      <c r="T1"/>
      <c r="U1" s="3"/>
      <c r="V1" s="3" t="s">
        <v>1</v>
      </c>
      <c r="W1" s="3"/>
      <c r="X1" s="3"/>
      <c r="Y1" s="3"/>
    </row>
    <row r="2" spans="1:25">
      <c r="A2" s="3"/>
      <c r="B2" s="7" t="s">
        <v>2</v>
      </c>
      <c r="C2" s="3"/>
      <c r="D2" s="3"/>
      <c r="E2" s="3"/>
      <c r="F2" s="3"/>
      <c r="G2" s="3"/>
      <c r="H2" s="3"/>
      <c r="I2" s="3"/>
      <c r="J2" s="3"/>
      <c r="K2" s="3" t="s">
        <v>3</v>
      </c>
      <c r="L2" s="3" t="s">
        <v>4</v>
      </c>
      <c r="M2" s="3" t="s">
        <v>5</v>
      </c>
      <c r="N2" s="3" t="s">
        <v>6</v>
      </c>
      <c r="O2" s="3"/>
      <c r="P2" s="3"/>
      <c r="Q2" s="3"/>
      <c r="R2" s="3"/>
      <c r="S2" s="3"/>
      <c r="T2" s="8" t="s">
        <v>7</v>
      </c>
      <c r="U2" s="8"/>
      <c r="W2" s="9" t="s">
        <v>8</v>
      </c>
      <c r="X2" s="9" t="s">
        <v>9</v>
      </c>
      <c r="Y2" s="9" t="s">
        <v>10</v>
      </c>
    </row>
    <row r="3" s="2" customFormat="1" spans="1: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4" t="s">
        <v>24</v>
      </c>
      <c r="O3" s="4" t="s">
        <v>25</v>
      </c>
      <c r="P3" s="4" t="s">
        <v>26</v>
      </c>
      <c r="Q3" s="4" t="s">
        <v>27</v>
      </c>
      <c r="R3" s="4" t="s">
        <v>28</v>
      </c>
      <c r="S3" s="4" t="s">
        <v>29</v>
      </c>
      <c r="T3" s="10" t="s">
        <v>30</v>
      </c>
      <c r="U3" s="10" t="s">
        <v>31</v>
      </c>
      <c r="V3" s="10" t="s">
        <v>32</v>
      </c>
      <c r="W3" s="4" t="s">
        <v>33</v>
      </c>
      <c r="X3" s="4" t="s">
        <v>34</v>
      </c>
      <c r="Y3" s="4" t="s">
        <v>35</v>
      </c>
    </row>
    <row r="4" s="2" customFormat="1" spans="1:25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46</v>
      </c>
      <c r="L4" s="5" t="s">
        <v>47</v>
      </c>
      <c r="M4" s="5" t="s">
        <v>48</v>
      </c>
      <c r="N4" s="5" t="s">
        <v>49</v>
      </c>
      <c r="O4" s="5" t="s">
        <v>50</v>
      </c>
      <c r="P4" s="5" t="s">
        <v>51</v>
      </c>
      <c r="Q4" s="5" t="s">
        <v>52</v>
      </c>
      <c r="R4" s="5" t="s">
        <v>53</v>
      </c>
      <c r="S4" s="5" t="s">
        <v>54</v>
      </c>
      <c r="T4" s="11" t="s">
        <v>55</v>
      </c>
      <c r="U4" s="11" t="s">
        <v>56</v>
      </c>
      <c r="V4" s="11" t="s">
        <v>57</v>
      </c>
      <c r="W4" s="5" t="s">
        <v>58</v>
      </c>
      <c r="X4" s="5" t="s">
        <v>59</v>
      </c>
      <c r="Y4" s="5" t="s">
        <v>60</v>
      </c>
    </row>
    <row r="5" s="2" customFormat="1" spans="1:25">
      <c r="A5" s="5" t="s">
        <v>61</v>
      </c>
      <c r="B5" s="5" t="s">
        <v>62</v>
      </c>
      <c r="C5" s="5" t="s">
        <v>63</v>
      </c>
      <c r="D5" s="5" t="s">
        <v>64</v>
      </c>
      <c r="E5" s="5" t="s">
        <v>63</v>
      </c>
      <c r="F5" s="5" t="s">
        <v>63</v>
      </c>
      <c r="G5" s="5" t="s">
        <v>63</v>
      </c>
      <c r="H5" s="5" t="s">
        <v>63</v>
      </c>
      <c r="I5" s="5" t="s">
        <v>64</v>
      </c>
      <c r="J5" s="5" t="s">
        <v>65</v>
      </c>
      <c r="K5" s="5" t="s">
        <v>62</v>
      </c>
      <c r="L5" s="5" t="s">
        <v>62</v>
      </c>
      <c r="M5" s="5" t="s">
        <v>62</v>
      </c>
      <c r="N5" s="5" t="s">
        <v>62</v>
      </c>
      <c r="O5" s="5" t="s">
        <v>62</v>
      </c>
      <c r="P5" s="5" t="s">
        <v>63</v>
      </c>
      <c r="Q5" s="5" t="s">
        <v>66</v>
      </c>
      <c r="R5" s="5" t="s">
        <v>66</v>
      </c>
      <c r="S5" s="5" t="s">
        <v>67</v>
      </c>
      <c r="T5" s="11" t="s">
        <v>63</v>
      </c>
      <c r="U5" s="11" t="s">
        <v>63</v>
      </c>
      <c r="V5" s="11" t="s">
        <v>64</v>
      </c>
      <c r="W5" s="5" t="s">
        <v>67</v>
      </c>
      <c r="X5" s="5" t="s">
        <v>62</v>
      </c>
      <c r="Y5" s="5" t="s">
        <v>62</v>
      </c>
    </row>
    <row r="6" s="2" customFormat="1" spans="1:25">
      <c r="A6" s="5" t="s">
        <v>68</v>
      </c>
      <c r="B6" s="5" t="s">
        <v>69</v>
      </c>
      <c r="C6" s="5" t="s">
        <v>70</v>
      </c>
      <c r="D6" s="5"/>
      <c r="E6" s="5" t="s">
        <v>71</v>
      </c>
      <c r="F6" s="5" t="s">
        <v>72</v>
      </c>
      <c r="G6" s="5" t="s">
        <v>73</v>
      </c>
      <c r="H6" s="5" t="s">
        <v>73</v>
      </c>
      <c r="I6" s="5"/>
      <c r="J6" s="5"/>
      <c r="K6" s="5"/>
      <c r="L6" s="5"/>
      <c r="M6" s="5"/>
      <c r="N6" s="5"/>
      <c r="O6" s="5"/>
      <c r="P6" s="5" t="s">
        <v>74</v>
      </c>
      <c r="Q6" s="5" t="s">
        <v>74</v>
      </c>
      <c r="R6" s="5" t="s">
        <v>74</v>
      </c>
      <c r="S6" s="5"/>
      <c r="T6" s="11" t="s">
        <v>75</v>
      </c>
      <c r="U6" s="11" t="s">
        <v>76</v>
      </c>
      <c r="V6" s="11"/>
      <c r="W6" s="5" t="s">
        <v>77</v>
      </c>
      <c r="X6" s="5" t="s">
        <v>77</v>
      </c>
      <c r="Y6" s="5" t="s">
        <v>77</v>
      </c>
    </row>
    <row r="7" customFormat="1" spans="1:25">
      <c r="A7" s="12"/>
      <c r="B7" s="13">
        <v>110010</v>
      </c>
      <c r="C7" s="13" t="s">
        <v>78</v>
      </c>
      <c r="D7" s="13" t="str">
        <f>"$Lang$"&amp;C7</f>
        <v>$Lang$盾卫步兵</v>
      </c>
      <c r="E7" s="13" t="s">
        <v>79</v>
      </c>
      <c r="F7" s="13" t="s">
        <v>80</v>
      </c>
      <c r="G7" s="13" t="s">
        <v>81</v>
      </c>
      <c r="H7" s="13" t="s">
        <v>82</v>
      </c>
      <c r="I7" s="13" t="s">
        <v>83</v>
      </c>
      <c r="J7" s="13">
        <v>1</v>
      </c>
      <c r="K7" s="13">
        <v>1</v>
      </c>
      <c r="L7" s="13">
        <v>3</v>
      </c>
      <c r="M7" s="13">
        <v>1</v>
      </c>
      <c r="N7" s="13">
        <v>1</v>
      </c>
      <c r="O7" s="13">
        <v>1</v>
      </c>
      <c r="P7" s="13" t="s">
        <v>84</v>
      </c>
      <c r="Q7" s="12"/>
      <c r="R7" s="12"/>
      <c r="S7" s="13" t="b">
        <v>0</v>
      </c>
      <c r="T7" s="14" t="s">
        <v>85</v>
      </c>
      <c r="U7" s="14" t="s">
        <v>86</v>
      </c>
      <c r="V7" s="12"/>
      <c r="W7" s="12"/>
      <c r="X7" s="12"/>
      <c r="Y7" s="12"/>
    </row>
    <row r="8" customFormat="1" spans="1:25">
      <c r="A8" s="12"/>
      <c r="B8" s="13">
        <v>110020</v>
      </c>
      <c r="C8" s="13" t="s">
        <v>87</v>
      </c>
      <c r="D8" s="13" t="str">
        <f t="shared" ref="D8:D38" si="0">"$Lang$"&amp;C8</f>
        <v>$Lang$弓射手</v>
      </c>
      <c r="E8" s="13" t="s">
        <v>79</v>
      </c>
      <c r="F8" s="13" t="str">
        <f t="shared" ref="F8:F13" si="1">F7</f>
        <v>圣堂</v>
      </c>
      <c r="G8" s="13" t="s">
        <v>81</v>
      </c>
      <c r="H8" s="13" t="s">
        <v>82</v>
      </c>
      <c r="I8" s="13" t="s">
        <v>83</v>
      </c>
      <c r="J8" s="13">
        <v>1</v>
      </c>
      <c r="K8" s="13">
        <v>1</v>
      </c>
      <c r="L8" s="13">
        <v>3</v>
      </c>
      <c r="M8" s="13">
        <v>2</v>
      </c>
      <c r="N8" s="13"/>
      <c r="O8" s="13">
        <v>2</v>
      </c>
      <c r="P8" s="13" t="s">
        <v>88</v>
      </c>
      <c r="Q8" s="12"/>
      <c r="R8" s="12"/>
      <c r="S8" s="13" t="b">
        <v>0</v>
      </c>
      <c r="T8" s="14" t="s">
        <v>85</v>
      </c>
      <c r="U8" s="14" t="s">
        <v>86</v>
      </c>
      <c r="V8" s="12"/>
      <c r="W8" s="12"/>
      <c r="X8" s="12"/>
      <c r="Y8" s="12"/>
    </row>
    <row r="9" customFormat="1" spans="1:25">
      <c r="A9" s="12"/>
      <c r="B9" s="13">
        <v>110030</v>
      </c>
      <c r="C9" s="13" t="s">
        <v>89</v>
      </c>
      <c r="D9" s="13" t="str">
        <f t="shared" si="0"/>
        <v>$Lang$铁甲卫</v>
      </c>
      <c r="E9" s="13" t="s">
        <v>79</v>
      </c>
      <c r="F9" s="13" t="str">
        <f t="shared" si="1"/>
        <v>圣堂</v>
      </c>
      <c r="G9" s="13" t="s">
        <v>81</v>
      </c>
      <c r="H9" s="13" t="s">
        <v>82</v>
      </c>
      <c r="I9" s="13" t="s">
        <v>83</v>
      </c>
      <c r="J9" s="13">
        <v>1</v>
      </c>
      <c r="K9" s="13">
        <v>1</v>
      </c>
      <c r="L9" s="13">
        <v>3</v>
      </c>
      <c r="M9" s="13">
        <v>1</v>
      </c>
      <c r="N9" s="13">
        <v>1</v>
      </c>
      <c r="O9" s="13">
        <v>3</v>
      </c>
      <c r="P9" s="13" t="s">
        <v>84</v>
      </c>
      <c r="Q9" s="12"/>
      <c r="R9" s="12"/>
      <c r="S9" s="13" t="b">
        <v>0</v>
      </c>
      <c r="T9" s="15" t="s">
        <v>90</v>
      </c>
      <c r="U9" s="15" t="s">
        <v>91</v>
      </c>
      <c r="V9" s="12"/>
      <c r="W9" s="12"/>
      <c r="X9" s="12"/>
      <c r="Y9" s="12"/>
    </row>
    <row r="10" customFormat="1" spans="1:25">
      <c r="A10" s="12"/>
      <c r="B10" s="13">
        <v>110040</v>
      </c>
      <c r="C10" s="13" t="s">
        <v>92</v>
      </c>
      <c r="D10" s="13" t="str">
        <f t="shared" si="0"/>
        <v>$Lang$银翼狮鹫</v>
      </c>
      <c r="E10" s="13" t="s">
        <v>79</v>
      </c>
      <c r="F10" s="13" t="str">
        <f t="shared" si="1"/>
        <v>圣堂</v>
      </c>
      <c r="G10" s="13" t="s">
        <v>81</v>
      </c>
      <c r="H10" s="13" t="s">
        <v>82</v>
      </c>
      <c r="I10" s="13" t="s">
        <v>83</v>
      </c>
      <c r="J10" s="13">
        <v>1</v>
      </c>
      <c r="K10" s="13">
        <v>2</v>
      </c>
      <c r="L10" s="13">
        <v>3</v>
      </c>
      <c r="M10" s="13">
        <v>1</v>
      </c>
      <c r="N10" s="13">
        <v>1</v>
      </c>
      <c r="O10" s="13">
        <v>4</v>
      </c>
      <c r="P10" s="13" t="s">
        <v>84</v>
      </c>
      <c r="Q10" s="12"/>
      <c r="R10" s="12"/>
      <c r="S10" s="13" t="b">
        <v>0</v>
      </c>
      <c r="T10" s="16" t="s">
        <v>93</v>
      </c>
      <c r="U10" s="16" t="s">
        <v>94</v>
      </c>
      <c r="V10" s="12"/>
      <c r="W10" s="12"/>
      <c r="X10" s="12"/>
      <c r="Y10" s="12"/>
    </row>
    <row r="11" customFormat="1" spans="1:25">
      <c r="A11" s="12"/>
      <c r="B11" s="13">
        <v>110050</v>
      </c>
      <c r="C11" s="13" t="s">
        <v>95</v>
      </c>
      <c r="D11" s="13" t="str">
        <f t="shared" si="0"/>
        <v>$Lang$圣光修士</v>
      </c>
      <c r="E11" s="13" t="s">
        <v>79</v>
      </c>
      <c r="F11" s="13" t="str">
        <f t="shared" si="1"/>
        <v>圣堂</v>
      </c>
      <c r="G11" s="13" t="s">
        <v>81</v>
      </c>
      <c r="H11" s="13" t="s">
        <v>82</v>
      </c>
      <c r="I11" s="13" t="s">
        <v>83</v>
      </c>
      <c r="J11" s="13">
        <v>1</v>
      </c>
      <c r="K11" s="13">
        <v>1</v>
      </c>
      <c r="L11" s="13">
        <v>3</v>
      </c>
      <c r="M11" s="13">
        <v>2</v>
      </c>
      <c r="N11" s="13"/>
      <c r="O11" s="13">
        <v>5</v>
      </c>
      <c r="P11" s="13" t="s">
        <v>88</v>
      </c>
      <c r="Q11" s="12"/>
      <c r="R11" s="12"/>
      <c r="S11" s="13" t="b">
        <v>0</v>
      </c>
      <c r="T11" s="17" t="s">
        <v>96</v>
      </c>
      <c r="U11" s="17" t="s">
        <v>97</v>
      </c>
      <c r="V11" s="12"/>
      <c r="W11" s="12"/>
      <c r="X11" s="12"/>
      <c r="Y11" s="12"/>
    </row>
    <row r="12" customFormat="1" spans="1:25">
      <c r="A12" s="12"/>
      <c r="B12" s="13">
        <v>110060</v>
      </c>
      <c r="C12" s="13" t="s">
        <v>98</v>
      </c>
      <c r="D12" s="13" t="str">
        <f t="shared" si="0"/>
        <v>$Lang$铁戟骑士</v>
      </c>
      <c r="E12" s="13" t="s">
        <v>79</v>
      </c>
      <c r="F12" s="13" t="str">
        <f t="shared" si="1"/>
        <v>圣堂</v>
      </c>
      <c r="G12" s="13" t="s">
        <v>81</v>
      </c>
      <c r="H12" s="13" t="s">
        <v>82</v>
      </c>
      <c r="I12" s="13" t="s">
        <v>83</v>
      </c>
      <c r="J12" s="13">
        <v>1</v>
      </c>
      <c r="K12" s="13">
        <v>1</v>
      </c>
      <c r="L12" s="13">
        <v>3</v>
      </c>
      <c r="M12" s="13">
        <v>1</v>
      </c>
      <c r="N12" s="13">
        <v>1</v>
      </c>
      <c r="O12" s="13">
        <v>6</v>
      </c>
      <c r="P12" s="13" t="s">
        <v>84</v>
      </c>
      <c r="Q12" s="12"/>
      <c r="R12" s="12"/>
      <c r="S12" s="13" t="b">
        <v>0</v>
      </c>
      <c r="T12" s="17" t="s">
        <v>96</v>
      </c>
      <c r="U12" s="17" t="s">
        <v>97</v>
      </c>
      <c r="V12" s="12"/>
      <c r="W12" s="12"/>
      <c r="X12" s="12"/>
      <c r="Y12" s="12"/>
    </row>
    <row r="13" customFormat="1" spans="1:25">
      <c r="A13" s="12"/>
      <c r="B13" s="13">
        <v>110070</v>
      </c>
      <c r="C13" s="13" t="s">
        <v>99</v>
      </c>
      <c r="D13" s="13" t="str">
        <f t="shared" si="0"/>
        <v>$Lang$圣翼使徒</v>
      </c>
      <c r="E13" s="13" t="s">
        <v>79</v>
      </c>
      <c r="F13" s="13" t="str">
        <f t="shared" si="1"/>
        <v>圣堂</v>
      </c>
      <c r="G13" s="13" t="s">
        <v>81</v>
      </c>
      <c r="H13" s="13" t="s">
        <v>82</v>
      </c>
      <c r="I13" s="13" t="s">
        <v>83</v>
      </c>
      <c r="J13" s="13">
        <v>1</v>
      </c>
      <c r="K13" s="13">
        <v>2</v>
      </c>
      <c r="L13" s="13">
        <v>3</v>
      </c>
      <c r="M13" s="13">
        <v>1</v>
      </c>
      <c r="N13" s="13">
        <v>1</v>
      </c>
      <c r="O13" s="13">
        <v>7</v>
      </c>
      <c r="P13" s="13" t="s">
        <v>84</v>
      </c>
      <c r="Q13" s="12"/>
      <c r="R13" s="12"/>
      <c r="S13" s="13" t="b">
        <v>0</v>
      </c>
      <c r="T13" s="18" t="s">
        <v>100</v>
      </c>
      <c r="U13" s="18" t="s">
        <v>101</v>
      </c>
      <c r="V13" s="12"/>
      <c r="W13" s="12"/>
      <c r="X13" s="12"/>
      <c r="Y13" s="12"/>
    </row>
    <row r="14" customFormat="1" spans="1:25">
      <c r="A14" s="12"/>
      <c r="B14" s="19">
        <v>120010</v>
      </c>
      <c r="C14" s="13" t="s">
        <v>102</v>
      </c>
      <c r="D14" s="13" t="str">
        <f t="shared" si="0"/>
        <v>$Lang$骸弓兵</v>
      </c>
      <c r="E14" s="13" t="s">
        <v>79</v>
      </c>
      <c r="F14" s="13" t="s">
        <v>103</v>
      </c>
      <c r="G14" s="13" t="s">
        <v>81</v>
      </c>
      <c r="H14" s="13" t="s">
        <v>82</v>
      </c>
      <c r="I14" s="13" t="s">
        <v>83</v>
      </c>
      <c r="J14" s="13">
        <v>1</v>
      </c>
      <c r="K14" s="13">
        <v>1</v>
      </c>
      <c r="L14" s="13">
        <v>3</v>
      </c>
      <c r="M14" s="13">
        <v>2</v>
      </c>
      <c r="N14" s="13"/>
      <c r="O14" s="13">
        <v>1</v>
      </c>
      <c r="P14" s="13" t="s">
        <v>88</v>
      </c>
      <c r="Q14" s="12"/>
      <c r="R14" s="12"/>
      <c r="S14" s="13" t="b">
        <v>0</v>
      </c>
      <c r="T14" s="14" t="s">
        <v>85</v>
      </c>
      <c r="U14" s="14" t="s">
        <v>86</v>
      </c>
      <c r="V14" s="12"/>
      <c r="W14" s="12"/>
      <c r="X14" s="12"/>
      <c r="Y14" s="12"/>
    </row>
    <row r="15" customFormat="1" spans="1:25">
      <c r="A15" s="12"/>
      <c r="B15" s="19">
        <v>120020</v>
      </c>
      <c r="C15" s="13" t="s">
        <v>104</v>
      </c>
      <c r="D15" s="13" t="str">
        <f t="shared" si="0"/>
        <v>$Lang$腐烂行尸</v>
      </c>
      <c r="E15" s="13" t="s">
        <v>79</v>
      </c>
      <c r="F15" s="13" t="str">
        <f t="shared" ref="F15:F20" si="2">F14</f>
        <v>墓园</v>
      </c>
      <c r="G15" s="13" t="s">
        <v>81</v>
      </c>
      <c r="H15" s="13" t="s">
        <v>82</v>
      </c>
      <c r="I15" s="13" t="s">
        <v>83</v>
      </c>
      <c r="J15" s="13">
        <v>1</v>
      </c>
      <c r="K15" s="13">
        <v>1</v>
      </c>
      <c r="L15" s="13">
        <v>3</v>
      </c>
      <c r="M15" s="13">
        <v>1</v>
      </c>
      <c r="N15" s="13">
        <v>1</v>
      </c>
      <c r="O15" s="13">
        <v>2</v>
      </c>
      <c r="P15" s="13" t="s">
        <v>84</v>
      </c>
      <c r="Q15" s="12"/>
      <c r="R15" s="12"/>
      <c r="S15" s="13" t="b">
        <v>0</v>
      </c>
      <c r="T15" s="14" t="s">
        <v>85</v>
      </c>
      <c r="U15" s="14" t="s">
        <v>86</v>
      </c>
      <c r="V15" s="12"/>
      <c r="W15" s="12"/>
      <c r="X15" s="12"/>
      <c r="Y15" s="12"/>
    </row>
    <row r="16" customFormat="1" spans="1:25">
      <c r="A16" s="12"/>
      <c r="B16" s="19">
        <v>120030</v>
      </c>
      <c r="C16" s="13" t="s">
        <v>105</v>
      </c>
      <c r="D16" s="13" t="str">
        <f t="shared" si="0"/>
        <v>$Lang$噬灵幽魂</v>
      </c>
      <c r="E16" s="13" t="s">
        <v>79</v>
      </c>
      <c r="F16" s="13" t="str">
        <f t="shared" si="2"/>
        <v>墓园</v>
      </c>
      <c r="G16" s="13" t="s">
        <v>81</v>
      </c>
      <c r="H16" s="13" t="s">
        <v>82</v>
      </c>
      <c r="I16" s="13" t="s">
        <v>83</v>
      </c>
      <c r="J16" s="13">
        <v>1</v>
      </c>
      <c r="K16" s="13">
        <v>1</v>
      </c>
      <c r="L16" s="13">
        <v>3</v>
      </c>
      <c r="M16" s="13">
        <v>1</v>
      </c>
      <c r="N16" s="13">
        <v>1</v>
      </c>
      <c r="O16" s="13">
        <v>3</v>
      </c>
      <c r="P16" s="13" t="s">
        <v>84</v>
      </c>
      <c r="Q16" s="12"/>
      <c r="R16" s="12"/>
      <c r="S16" s="13" t="b">
        <v>0</v>
      </c>
      <c r="T16" s="15" t="s">
        <v>90</v>
      </c>
      <c r="U16" s="15" t="s">
        <v>91</v>
      </c>
      <c r="V16" s="12"/>
      <c r="W16" s="12"/>
      <c r="X16" s="12"/>
      <c r="Y16" s="12"/>
    </row>
    <row r="17" customFormat="1" spans="1:25">
      <c r="A17" s="12"/>
      <c r="B17" s="19">
        <v>120040</v>
      </c>
      <c r="C17" s="13" t="s">
        <v>106</v>
      </c>
      <c r="D17" s="13" t="str">
        <f t="shared" si="0"/>
        <v>$Lang$吸血鬼</v>
      </c>
      <c r="E17" s="13" t="s">
        <v>79</v>
      </c>
      <c r="F17" s="13" t="str">
        <f t="shared" si="2"/>
        <v>墓园</v>
      </c>
      <c r="G17" s="13" t="s">
        <v>81</v>
      </c>
      <c r="H17" s="13" t="s">
        <v>82</v>
      </c>
      <c r="I17" s="13" t="s">
        <v>83</v>
      </c>
      <c r="J17" s="13">
        <v>1</v>
      </c>
      <c r="K17" s="13">
        <v>1</v>
      </c>
      <c r="L17" s="13">
        <v>3</v>
      </c>
      <c r="M17" s="13">
        <v>1</v>
      </c>
      <c r="N17" s="13">
        <v>1</v>
      </c>
      <c r="O17" s="13">
        <v>4</v>
      </c>
      <c r="P17" s="13" t="s">
        <v>84</v>
      </c>
      <c r="Q17" s="12"/>
      <c r="R17" s="12"/>
      <c r="S17" s="13" t="b">
        <v>0</v>
      </c>
      <c r="T17" s="16" t="s">
        <v>93</v>
      </c>
      <c r="U17" s="16" t="s">
        <v>94</v>
      </c>
      <c r="V17" s="12"/>
      <c r="W17" s="12"/>
      <c r="X17" s="12"/>
      <c r="Y17" s="12"/>
    </row>
    <row r="18" customFormat="1" spans="1:25">
      <c r="A18" s="12"/>
      <c r="B18" s="19">
        <v>120050</v>
      </c>
      <c r="C18" s="13" t="s">
        <v>107</v>
      </c>
      <c r="D18" s="13" t="str">
        <f t="shared" si="0"/>
        <v>$Lang$亡骨巫祭</v>
      </c>
      <c r="E18" s="13" t="s">
        <v>79</v>
      </c>
      <c r="F18" s="13" t="str">
        <f t="shared" si="2"/>
        <v>墓园</v>
      </c>
      <c r="G18" s="13" t="s">
        <v>81</v>
      </c>
      <c r="H18" s="13" t="s">
        <v>82</v>
      </c>
      <c r="I18" s="13" t="s">
        <v>83</v>
      </c>
      <c r="J18" s="13">
        <v>1</v>
      </c>
      <c r="K18" s="13">
        <v>2</v>
      </c>
      <c r="L18" s="13">
        <v>3</v>
      </c>
      <c r="M18" s="13">
        <v>2</v>
      </c>
      <c r="N18" s="13"/>
      <c r="O18" s="13">
        <v>5</v>
      </c>
      <c r="P18" s="13" t="s">
        <v>88</v>
      </c>
      <c r="Q18" s="12"/>
      <c r="R18" s="12"/>
      <c r="S18" s="13" t="b">
        <v>0</v>
      </c>
      <c r="T18" s="17" t="s">
        <v>96</v>
      </c>
      <c r="U18" s="17" t="s">
        <v>97</v>
      </c>
      <c r="V18" s="12"/>
      <c r="W18" s="12"/>
      <c r="X18" s="12"/>
      <c r="Y18" s="12"/>
    </row>
    <row r="19" customFormat="1" spans="1:25">
      <c r="A19" s="12"/>
      <c r="B19" s="19">
        <v>120060</v>
      </c>
      <c r="C19" s="13" t="s">
        <v>108</v>
      </c>
      <c r="D19" s="13" t="str">
        <f t="shared" si="0"/>
        <v>$Lang$黑骑士</v>
      </c>
      <c r="E19" s="13" t="s">
        <v>79</v>
      </c>
      <c r="F19" s="13" t="str">
        <f t="shared" si="2"/>
        <v>墓园</v>
      </c>
      <c r="G19" s="13" t="s">
        <v>81</v>
      </c>
      <c r="H19" s="13" t="s">
        <v>82</v>
      </c>
      <c r="I19" s="13" t="s">
        <v>83</v>
      </c>
      <c r="J19" s="13">
        <v>1</v>
      </c>
      <c r="K19" s="13">
        <v>1</v>
      </c>
      <c r="L19" s="13">
        <v>3</v>
      </c>
      <c r="M19" s="13">
        <v>1</v>
      </c>
      <c r="N19" s="13">
        <v>1</v>
      </c>
      <c r="O19" s="13">
        <v>6</v>
      </c>
      <c r="P19" s="13" t="s">
        <v>84</v>
      </c>
      <c r="Q19" s="12"/>
      <c r="R19" s="12"/>
      <c r="S19" s="13" t="b">
        <v>0</v>
      </c>
      <c r="T19" s="17" t="s">
        <v>96</v>
      </c>
      <c r="U19" s="17" t="s">
        <v>97</v>
      </c>
      <c r="V19" s="12"/>
      <c r="W19" s="12"/>
      <c r="X19" s="12"/>
      <c r="Y19" s="12"/>
    </row>
    <row r="20" customFormat="1" spans="1:25">
      <c r="A20" s="12"/>
      <c r="B20" s="19">
        <v>120070</v>
      </c>
      <c r="C20" s="13" t="s">
        <v>109</v>
      </c>
      <c r="D20" s="13" t="str">
        <f t="shared" si="0"/>
        <v>$Lang$骸骨巨龙</v>
      </c>
      <c r="E20" s="13" t="s">
        <v>79</v>
      </c>
      <c r="F20" s="13" t="str">
        <f t="shared" si="2"/>
        <v>墓园</v>
      </c>
      <c r="G20" s="13" t="s">
        <v>81</v>
      </c>
      <c r="H20" s="13" t="s">
        <v>82</v>
      </c>
      <c r="I20" s="13" t="s">
        <v>83</v>
      </c>
      <c r="J20" s="13">
        <v>1</v>
      </c>
      <c r="K20" s="13">
        <v>2</v>
      </c>
      <c r="L20" s="13">
        <v>3</v>
      </c>
      <c r="M20" s="13">
        <v>1</v>
      </c>
      <c r="N20" s="13">
        <v>1</v>
      </c>
      <c r="O20" s="13">
        <v>7</v>
      </c>
      <c r="P20" s="13" t="s">
        <v>84</v>
      </c>
      <c r="Q20" s="12"/>
      <c r="R20" s="12"/>
      <c r="S20" s="13" t="b">
        <v>0</v>
      </c>
      <c r="T20" s="18" t="s">
        <v>100</v>
      </c>
      <c r="U20" s="18" t="s">
        <v>101</v>
      </c>
      <c r="V20" s="12"/>
      <c r="W20" s="12"/>
      <c r="X20" s="12"/>
      <c r="Y20" s="12"/>
    </row>
    <row r="21" customFormat="1" spans="1:25">
      <c r="A21" s="12"/>
      <c r="B21" s="19">
        <v>130010</v>
      </c>
      <c r="C21" s="13" t="s">
        <v>110</v>
      </c>
      <c r="D21" s="13" t="str">
        <f t="shared" si="0"/>
        <v>$Lang$暗行斥候</v>
      </c>
      <c r="E21" s="13" t="s">
        <v>79</v>
      </c>
      <c r="F21" s="13" t="s">
        <v>111</v>
      </c>
      <c r="G21" s="13" t="s">
        <v>81</v>
      </c>
      <c r="H21" s="13" t="s">
        <v>82</v>
      </c>
      <c r="I21" s="13" t="s">
        <v>83</v>
      </c>
      <c r="J21" s="13">
        <v>1</v>
      </c>
      <c r="K21" s="13">
        <v>1</v>
      </c>
      <c r="L21" s="13">
        <v>3</v>
      </c>
      <c r="M21" s="13">
        <v>2</v>
      </c>
      <c r="N21" s="13"/>
      <c r="O21" s="13">
        <v>1</v>
      </c>
      <c r="P21" s="13" t="s">
        <v>88</v>
      </c>
      <c r="Q21" s="12"/>
      <c r="R21" s="12"/>
      <c r="S21" s="13" t="b">
        <v>0</v>
      </c>
      <c r="T21" s="14" t="s">
        <v>85</v>
      </c>
      <c r="U21" s="14" t="s">
        <v>86</v>
      </c>
      <c r="V21" s="12"/>
      <c r="W21" s="12"/>
      <c r="X21" s="12"/>
      <c r="Y21" s="12"/>
    </row>
    <row r="22" customFormat="1" spans="1:25">
      <c r="A22" s="12"/>
      <c r="B22" s="19">
        <v>130020</v>
      </c>
      <c r="C22" s="13" t="s">
        <v>112</v>
      </c>
      <c r="D22" s="13" t="str">
        <f t="shared" si="0"/>
        <v>$Lang$血祭少女</v>
      </c>
      <c r="E22" s="13" t="s">
        <v>79</v>
      </c>
      <c r="F22" s="13" t="str">
        <f t="shared" ref="F22:F27" si="3">F21</f>
        <v>地牢</v>
      </c>
      <c r="G22" s="13" t="s">
        <v>81</v>
      </c>
      <c r="H22" s="13" t="s">
        <v>82</v>
      </c>
      <c r="I22" s="13" t="s">
        <v>83</v>
      </c>
      <c r="J22" s="13">
        <v>1</v>
      </c>
      <c r="K22" s="13">
        <v>1</v>
      </c>
      <c r="L22" s="13">
        <v>3</v>
      </c>
      <c r="M22" s="13">
        <v>1</v>
      </c>
      <c r="N22" s="13">
        <v>1</v>
      </c>
      <c r="O22" s="13">
        <v>2</v>
      </c>
      <c r="P22" s="13" t="s">
        <v>84</v>
      </c>
      <c r="Q22" s="12"/>
      <c r="R22" s="12"/>
      <c r="S22" s="13" t="b">
        <v>0</v>
      </c>
      <c r="T22" s="14" t="s">
        <v>85</v>
      </c>
      <c r="U22" s="14" t="s">
        <v>86</v>
      </c>
      <c r="V22" s="12"/>
      <c r="W22" s="12"/>
      <c r="X22" s="12"/>
      <c r="Y22" s="12"/>
    </row>
    <row r="23" customFormat="1" spans="1:25">
      <c r="A23" s="12"/>
      <c r="B23" s="19">
        <v>130030</v>
      </c>
      <c r="C23" s="13" t="s">
        <v>113</v>
      </c>
      <c r="D23" s="13" t="str">
        <f t="shared" si="0"/>
        <v>$Lang$牛斗士</v>
      </c>
      <c r="E23" s="13" t="s">
        <v>79</v>
      </c>
      <c r="F23" s="13" t="str">
        <f t="shared" si="3"/>
        <v>地牢</v>
      </c>
      <c r="G23" s="13" t="s">
        <v>81</v>
      </c>
      <c r="H23" s="13" t="s">
        <v>82</v>
      </c>
      <c r="I23" s="13" t="s">
        <v>83</v>
      </c>
      <c r="J23" s="13">
        <v>1</v>
      </c>
      <c r="K23" s="13">
        <v>1</v>
      </c>
      <c r="L23" s="13">
        <v>3</v>
      </c>
      <c r="M23" s="13">
        <v>1</v>
      </c>
      <c r="N23" s="13">
        <v>1</v>
      </c>
      <c r="O23" s="13">
        <v>3</v>
      </c>
      <c r="P23" s="13" t="s">
        <v>84</v>
      </c>
      <c r="Q23" s="12"/>
      <c r="R23" s="12"/>
      <c r="S23" s="13" t="b">
        <v>0</v>
      </c>
      <c r="T23" s="15" t="s">
        <v>90</v>
      </c>
      <c r="U23" s="15" t="s">
        <v>91</v>
      </c>
      <c r="V23" s="12"/>
      <c r="W23" s="12"/>
      <c r="X23" s="12"/>
      <c r="Y23" s="12"/>
    </row>
    <row r="24" customFormat="1" spans="1:25">
      <c r="A24" s="12"/>
      <c r="B24" s="19">
        <v>130040</v>
      </c>
      <c r="C24" s="13" t="s">
        <v>114</v>
      </c>
      <c r="D24" s="13" t="str">
        <f t="shared" si="0"/>
        <v>$Lang$幽暗女巫</v>
      </c>
      <c r="E24" s="13" t="s">
        <v>79</v>
      </c>
      <c r="F24" s="13" t="str">
        <f t="shared" si="3"/>
        <v>地牢</v>
      </c>
      <c r="G24" s="13" t="s">
        <v>81</v>
      </c>
      <c r="H24" s="13" t="s">
        <v>82</v>
      </c>
      <c r="I24" s="13" t="s">
        <v>83</v>
      </c>
      <c r="J24" s="13">
        <v>1</v>
      </c>
      <c r="K24" s="13">
        <v>2</v>
      </c>
      <c r="L24" s="13">
        <v>3</v>
      </c>
      <c r="M24" s="13">
        <v>2</v>
      </c>
      <c r="N24" s="13"/>
      <c r="O24" s="13">
        <v>4</v>
      </c>
      <c r="P24" s="13" t="s">
        <v>88</v>
      </c>
      <c r="Q24" s="12"/>
      <c r="R24" s="12"/>
      <c r="S24" s="13" t="b">
        <v>0</v>
      </c>
      <c r="T24" s="16" t="s">
        <v>93</v>
      </c>
      <c r="U24" s="16" t="s">
        <v>94</v>
      </c>
      <c r="V24" s="12"/>
      <c r="W24" s="12"/>
      <c r="X24" s="12"/>
      <c r="Y24" s="12"/>
    </row>
    <row r="25" customFormat="1" spans="1:25">
      <c r="A25" s="12"/>
      <c r="B25" s="19">
        <v>130050</v>
      </c>
      <c r="C25" s="13" t="s">
        <v>115</v>
      </c>
      <c r="D25" s="13" t="str">
        <f t="shared" si="0"/>
        <v>$Lang$蜥蜴掠骑</v>
      </c>
      <c r="E25" s="13" t="s">
        <v>79</v>
      </c>
      <c r="F25" s="13" t="str">
        <f t="shared" si="3"/>
        <v>地牢</v>
      </c>
      <c r="G25" s="13" t="s">
        <v>81</v>
      </c>
      <c r="H25" s="13" t="s">
        <v>82</v>
      </c>
      <c r="I25" s="13" t="s">
        <v>83</v>
      </c>
      <c r="J25" s="13">
        <v>1</v>
      </c>
      <c r="K25" s="13">
        <v>1</v>
      </c>
      <c r="L25" s="13">
        <v>3</v>
      </c>
      <c r="M25" s="13">
        <v>1</v>
      </c>
      <c r="N25" s="13">
        <v>1</v>
      </c>
      <c r="O25" s="13">
        <v>5</v>
      </c>
      <c r="P25" s="13" t="s">
        <v>84</v>
      </c>
      <c r="Q25" s="12"/>
      <c r="R25" s="12"/>
      <c r="S25" s="13" t="b">
        <v>0</v>
      </c>
      <c r="T25" s="17" t="s">
        <v>96</v>
      </c>
      <c r="U25" s="17" t="s">
        <v>97</v>
      </c>
      <c r="V25" s="12"/>
      <c r="W25" s="12"/>
      <c r="X25" s="12"/>
      <c r="Y25" s="12"/>
    </row>
    <row r="26" customFormat="1" spans="1:25">
      <c r="A26" s="12"/>
      <c r="B26" s="19">
        <v>130060</v>
      </c>
      <c r="C26" s="13" t="s">
        <v>116</v>
      </c>
      <c r="D26" s="13" t="str">
        <f t="shared" si="0"/>
        <v>$Lang$多头蛇蜥</v>
      </c>
      <c r="E26" s="13" t="s">
        <v>79</v>
      </c>
      <c r="F26" s="13" t="str">
        <f t="shared" si="3"/>
        <v>地牢</v>
      </c>
      <c r="G26" s="13" t="s">
        <v>81</v>
      </c>
      <c r="H26" s="13" t="s">
        <v>82</v>
      </c>
      <c r="I26" s="13" t="s">
        <v>83</v>
      </c>
      <c r="J26" s="13">
        <v>1</v>
      </c>
      <c r="K26" s="13">
        <v>1</v>
      </c>
      <c r="L26" s="13">
        <v>3</v>
      </c>
      <c r="M26" s="13">
        <v>1</v>
      </c>
      <c r="N26" s="13">
        <v>1</v>
      </c>
      <c r="O26" s="13">
        <v>6</v>
      </c>
      <c r="P26" s="13" t="s">
        <v>84</v>
      </c>
      <c r="Q26" s="12"/>
      <c r="R26" s="12"/>
      <c r="S26" s="13" t="b">
        <v>0</v>
      </c>
      <c r="T26" s="17" t="s">
        <v>96</v>
      </c>
      <c r="U26" s="17" t="s">
        <v>97</v>
      </c>
      <c r="V26" s="12"/>
      <c r="W26" s="12"/>
      <c r="X26" s="12"/>
      <c r="Y26" s="12"/>
    </row>
    <row r="27" customFormat="1" spans="1:25">
      <c r="A27" s="12"/>
      <c r="B27" s="19">
        <v>130070</v>
      </c>
      <c r="C27" s="13" t="s">
        <v>117</v>
      </c>
      <c r="D27" s="13" t="str">
        <f t="shared" si="0"/>
        <v>$Lang$暗影龙</v>
      </c>
      <c r="E27" s="13" t="s">
        <v>79</v>
      </c>
      <c r="F27" s="13" t="str">
        <f t="shared" si="3"/>
        <v>地牢</v>
      </c>
      <c r="G27" s="13" t="s">
        <v>81</v>
      </c>
      <c r="H27" s="13" t="s">
        <v>82</v>
      </c>
      <c r="I27" s="13" t="s">
        <v>83</v>
      </c>
      <c r="J27" s="13">
        <v>1</v>
      </c>
      <c r="K27" s="13">
        <v>2</v>
      </c>
      <c r="L27" s="13">
        <v>3</v>
      </c>
      <c r="M27" s="13">
        <v>1</v>
      </c>
      <c r="N27" s="13">
        <v>1</v>
      </c>
      <c r="O27" s="13">
        <v>7</v>
      </c>
      <c r="P27" s="13" t="s">
        <v>84</v>
      </c>
      <c r="Q27" s="12"/>
      <c r="R27" s="12"/>
      <c r="S27" s="13" t="b">
        <v>0</v>
      </c>
      <c r="T27" s="18" t="s">
        <v>100</v>
      </c>
      <c r="U27" s="18" t="s">
        <v>101</v>
      </c>
      <c r="V27" s="12"/>
      <c r="W27" s="12"/>
      <c r="X27" s="12"/>
      <c r="Y27" s="12"/>
    </row>
    <row r="28" customFormat="1" spans="1:25">
      <c r="A28" s="12"/>
      <c r="B28" s="19">
        <v>140010</v>
      </c>
      <c r="C28" s="13" t="s">
        <v>118</v>
      </c>
      <c r="D28" s="13" t="str">
        <f t="shared" si="0"/>
        <v>$Lang$藤牌兵</v>
      </c>
      <c r="E28" s="13" t="s">
        <v>79</v>
      </c>
      <c r="F28" s="13" t="s">
        <v>119</v>
      </c>
      <c r="G28" s="13" t="s">
        <v>81</v>
      </c>
      <c r="H28" s="13" t="s">
        <v>82</v>
      </c>
      <c r="I28" s="13" t="s">
        <v>83</v>
      </c>
      <c r="J28" s="13">
        <v>1</v>
      </c>
      <c r="K28" s="13">
        <v>1</v>
      </c>
      <c r="L28" s="13">
        <v>3</v>
      </c>
      <c r="M28" s="13">
        <v>1</v>
      </c>
      <c r="N28" s="13">
        <v>1</v>
      </c>
      <c r="O28" s="13">
        <v>1</v>
      </c>
      <c r="P28" s="13" t="s">
        <v>84</v>
      </c>
      <c r="Q28" s="12"/>
      <c r="R28" s="12"/>
      <c r="S28" s="13" t="b">
        <v>0</v>
      </c>
      <c r="T28" s="14" t="s">
        <v>85</v>
      </c>
      <c r="U28" s="14" t="s">
        <v>86</v>
      </c>
      <c r="V28" s="12"/>
      <c r="W28" s="12"/>
      <c r="X28" s="12"/>
      <c r="Y28" s="12"/>
    </row>
    <row r="29" customFormat="1" spans="1:25">
      <c r="A29" s="12"/>
      <c r="B29" s="19">
        <v>140020</v>
      </c>
      <c r="C29" s="13" t="s">
        <v>120</v>
      </c>
      <c r="D29" s="13" t="str">
        <f t="shared" si="0"/>
        <v>$Lang$鸟铳手</v>
      </c>
      <c r="E29" s="13" t="s">
        <v>79</v>
      </c>
      <c r="F29" s="13" t="str">
        <f t="shared" ref="F29:F34" si="4">F28</f>
        <v>神机</v>
      </c>
      <c r="G29" s="13" t="s">
        <v>81</v>
      </c>
      <c r="H29" s="13" t="s">
        <v>82</v>
      </c>
      <c r="I29" s="13" t="s">
        <v>83</v>
      </c>
      <c r="J29" s="13">
        <v>1</v>
      </c>
      <c r="K29" s="13">
        <v>1</v>
      </c>
      <c r="L29" s="13">
        <v>3</v>
      </c>
      <c r="M29" s="13">
        <v>2</v>
      </c>
      <c r="N29" s="13"/>
      <c r="O29" s="13">
        <v>2</v>
      </c>
      <c r="P29" s="13" t="s">
        <v>88</v>
      </c>
      <c r="Q29" s="12"/>
      <c r="R29" s="12"/>
      <c r="S29" s="13" t="b">
        <v>0</v>
      </c>
      <c r="T29" s="14" t="s">
        <v>85</v>
      </c>
      <c r="U29" s="14" t="s">
        <v>86</v>
      </c>
      <c r="V29" s="12"/>
      <c r="W29" s="12"/>
      <c r="X29" s="12"/>
      <c r="Y29" s="12"/>
    </row>
    <row r="30" customFormat="1" spans="1:25">
      <c r="A30" s="12"/>
      <c r="B30" s="19">
        <v>140030</v>
      </c>
      <c r="C30" s="13" t="s">
        <v>121</v>
      </c>
      <c r="D30" s="13" t="str">
        <f t="shared" si="0"/>
        <v>$Lang$狼筅卫</v>
      </c>
      <c r="E30" s="13" t="s">
        <v>79</v>
      </c>
      <c r="F30" s="13" t="str">
        <f t="shared" si="4"/>
        <v>神机</v>
      </c>
      <c r="G30" s="13" t="s">
        <v>81</v>
      </c>
      <c r="H30" s="13" t="s">
        <v>82</v>
      </c>
      <c r="I30" s="13" t="s">
        <v>83</v>
      </c>
      <c r="J30" s="13">
        <v>1</v>
      </c>
      <c r="K30" s="13">
        <v>1</v>
      </c>
      <c r="L30" s="13">
        <v>3</v>
      </c>
      <c r="M30" s="13">
        <v>1</v>
      </c>
      <c r="N30" s="13">
        <v>1</v>
      </c>
      <c r="O30" s="13">
        <v>3</v>
      </c>
      <c r="P30" s="13" t="s">
        <v>84</v>
      </c>
      <c r="Q30" s="12"/>
      <c r="R30" s="12"/>
      <c r="S30" s="13" t="b">
        <v>0</v>
      </c>
      <c r="T30" s="15" t="s">
        <v>90</v>
      </c>
      <c r="U30" s="15" t="s">
        <v>91</v>
      </c>
      <c r="V30" s="12"/>
      <c r="W30" s="12"/>
      <c r="X30" s="12"/>
      <c r="Y30" s="12"/>
    </row>
    <row r="31" customFormat="1" spans="1:25">
      <c r="A31" s="12"/>
      <c r="B31" s="19">
        <v>140040</v>
      </c>
      <c r="C31" s="13" t="s">
        <v>122</v>
      </c>
      <c r="D31" s="13" t="str">
        <f t="shared" si="0"/>
        <v>$Lang$神火飞鸦</v>
      </c>
      <c r="E31" s="13" t="s">
        <v>79</v>
      </c>
      <c r="F31" s="13" t="str">
        <f t="shared" si="4"/>
        <v>神机</v>
      </c>
      <c r="G31" s="13" t="s">
        <v>81</v>
      </c>
      <c r="H31" s="13" t="s">
        <v>82</v>
      </c>
      <c r="I31" s="13" t="s">
        <v>83</v>
      </c>
      <c r="J31" s="13">
        <v>1</v>
      </c>
      <c r="K31" s="13">
        <v>2</v>
      </c>
      <c r="L31" s="13">
        <v>3</v>
      </c>
      <c r="M31" s="13">
        <v>2</v>
      </c>
      <c r="N31" s="13"/>
      <c r="O31" s="13">
        <v>4</v>
      </c>
      <c r="P31" s="13" t="s">
        <v>88</v>
      </c>
      <c r="Q31" s="12"/>
      <c r="R31" s="12"/>
      <c r="S31" s="13" t="b">
        <v>0</v>
      </c>
      <c r="T31" s="16" t="s">
        <v>93</v>
      </c>
      <c r="U31" s="16" t="s">
        <v>94</v>
      </c>
      <c r="V31" s="12"/>
      <c r="W31" s="12"/>
      <c r="X31" s="12"/>
      <c r="Y31" s="12"/>
    </row>
    <row r="32" customFormat="1" spans="1:25">
      <c r="A32" s="12"/>
      <c r="B32" s="19">
        <v>140050</v>
      </c>
      <c r="C32" s="13" t="s">
        <v>123</v>
      </c>
      <c r="D32" s="13" t="str">
        <f t="shared" si="0"/>
        <v>$Lang$火炮尉</v>
      </c>
      <c r="E32" s="13" t="s">
        <v>79</v>
      </c>
      <c r="F32" s="13" t="str">
        <f t="shared" si="4"/>
        <v>神机</v>
      </c>
      <c r="G32" s="13" t="s">
        <v>81</v>
      </c>
      <c r="H32" s="13" t="s">
        <v>82</v>
      </c>
      <c r="I32" s="13" t="s">
        <v>83</v>
      </c>
      <c r="J32" s="13">
        <v>1</v>
      </c>
      <c r="K32" s="13">
        <v>1</v>
      </c>
      <c r="L32" s="13">
        <v>3</v>
      </c>
      <c r="M32" s="13">
        <v>2</v>
      </c>
      <c r="N32" s="13"/>
      <c r="O32" s="13">
        <v>5</v>
      </c>
      <c r="P32" s="13" t="s">
        <v>88</v>
      </c>
      <c r="Q32" s="12"/>
      <c r="R32" s="12"/>
      <c r="S32" s="13" t="b">
        <v>0</v>
      </c>
      <c r="T32" s="17" t="s">
        <v>96</v>
      </c>
      <c r="U32" s="17" t="s">
        <v>97</v>
      </c>
      <c r="V32" s="12"/>
      <c r="W32" s="12"/>
      <c r="X32" s="12"/>
      <c r="Y32" s="12"/>
    </row>
    <row r="33" customFormat="1" spans="1:25">
      <c r="A33" s="12"/>
      <c r="B33" s="19">
        <v>140060</v>
      </c>
      <c r="C33" s="13" t="s">
        <v>124</v>
      </c>
      <c r="D33" s="13" t="str">
        <f t="shared" si="0"/>
        <v>$Lang$连环铳骑</v>
      </c>
      <c r="E33" s="13" t="s">
        <v>79</v>
      </c>
      <c r="F33" s="13" t="str">
        <f t="shared" si="4"/>
        <v>神机</v>
      </c>
      <c r="G33" s="13" t="s">
        <v>81</v>
      </c>
      <c r="H33" s="13" t="s">
        <v>82</v>
      </c>
      <c r="I33" s="13" t="s">
        <v>83</v>
      </c>
      <c r="J33" s="13">
        <v>1</v>
      </c>
      <c r="K33" s="13">
        <v>1</v>
      </c>
      <c r="L33" s="13">
        <v>3</v>
      </c>
      <c r="M33" s="13">
        <v>2</v>
      </c>
      <c r="N33" s="13"/>
      <c r="O33" s="13">
        <v>6</v>
      </c>
      <c r="P33" s="13" t="s">
        <v>88</v>
      </c>
      <c r="Q33" s="12"/>
      <c r="R33" s="12"/>
      <c r="S33" s="13" t="b">
        <v>0</v>
      </c>
      <c r="T33" s="17" t="s">
        <v>96</v>
      </c>
      <c r="U33" s="17" t="s">
        <v>97</v>
      </c>
      <c r="V33" s="12"/>
      <c r="W33" s="12"/>
      <c r="X33" s="12"/>
      <c r="Y33" s="12"/>
    </row>
    <row r="34" customFormat="1" spans="1:25">
      <c r="A34" s="12"/>
      <c r="B34" s="19">
        <v>140070</v>
      </c>
      <c r="C34" s="13" t="s">
        <v>125</v>
      </c>
      <c r="D34" s="13" t="str">
        <f t="shared" si="0"/>
        <v>$Lang$鎏金炎龙</v>
      </c>
      <c r="E34" s="13" t="s">
        <v>79</v>
      </c>
      <c r="F34" s="13" t="str">
        <f t="shared" si="4"/>
        <v>神机</v>
      </c>
      <c r="G34" s="13" t="s">
        <v>81</v>
      </c>
      <c r="H34" s="13" t="s">
        <v>82</v>
      </c>
      <c r="I34" s="13" t="s">
        <v>83</v>
      </c>
      <c r="J34" s="13">
        <v>1</v>
      </c>
      <c r="K34" s="13">
        <v>2</v>
      </c>
      <c r="L34" s="13">
        <v>3</v>
      </c>
      <c r="M34" s="13">
        <v>1</v>
      </c>
      <c r="N34" s="13">
        <v>1</v>
      </c>
      <c r="O34" s="13">
        <v>7</v>
      </c>
      <c r="P34" s="13" t="s">
        <v>84</v>
      </c>
      <c r="Q34" s="12"/>
      <c r="R34" s="12"/>
      <c r="S34" s="13" t="b">
        <v>0</v>
      </c>
      <c r="T34" s="18" t="s">
        <v>100</v>
      </c>
      <c r="U34" s="18" t="s">
        <v>101</v>
      </c>
      <c r="V34" s="12"/>
      <c r="W34" s="12"/>
      <c r="X34" s="12"/>
      <c r="Y34" s="12"/>
    </row>
    <row r="35" customFormat="1" spans="1:25">
      <c r="B35" s="13">
        <v>11001</v>
      </c>
      <c r="C35" s="20" t="s">
        <v>126</v>
      </c>
      <c r="D35" s="13" t="str">
        <f t="shared" si="0"/>
        <v>$Lang$临时小兵_1</v>
      </c>
      <c r="E35" s="13" t="s">
        <v>79</v>
      </c>
      <c r="F35" s="13" t="s">
        <v>80</v>
      </c>
      <c r="G35" s="13" t="str">
        <f>"单位图标_"&amp;C35</f>
        <v>单位图标_临时小兵_1</v>
      </c>
      <c r="H35" s="13" t="str">
        <f>"单位立绘_"&amp;C35</f>
        <v>单位立绘_临时小兵_1</v>
      </c>
      <c r="I35" s="13" t="str">
        <f>"$Lang$单位说明_"&amp;C35</f>
        <v>$Lang$单位说明_临时小兵_1</v>
      </c>
      <c r="J35" s="13">
        <v>1</v>
      </c>
      <c r="K35" s="13">
        <v>1</v>
      </c>
      <c r="L35" s="13">
        <v>3</v>
      </c>
      <c r="M35" s="13">
        <v>1</v>
      </c>
      <c r="N35" s="13">
        <v>1</v>
      </c>
      <c r="O35" s="13">
        <v>1</v>
      </c>
      <c r="P35" s="13" t="s">
        <v>84</v>
      </c>
      <c r="Q35" s="13"/>
      <c r="R35" s="13"/>
      <c r="S35" s="13" t="b">
        <v>0</v>
      </c>
      <c r="T35" s="14" t="s">
        <v>85</v>
      </c>
      <c r="U35" s="14" t="s">
        <v>86</v>
      </c>
      <c r="V35" s="12"/>
      <c r="W35" s="20"/>
      <c r="X35" s="13"/>
      <c r="Y35" s="13"/>
    </row>
    <row r="36" customFormat="1" spans="1:25">
      <c r="B36" s="13">
        <v>11002</v>
      </c>
      <c r="C36" s="20" t="s">
        <v>127</v>
      </c>
      <c r="D36" s="13" t="str">
        <f t="shared" si="0"/>
        <v>$Lang$临时小兵_2</v>
      </c>
      <c r="E36" s="13" t="s">
        <v>79</v>
      </c>
      <c r="F36" s="13" t="s">
        <v>103</v>
      </c>
      <c r="G36" s="13" t="str">
        <f>"单位图标_"&amp;C36</f>
        <v>单位图标_临时小兵_2</v>
      </c>
      <c r="H36" s="13" t="str">
        <f>"单位立绘_"&amp;C36</f>
        <v>单位立绘_临时小兵_2</v>
      </c>
      <c r="I36" s="13" t="str">
        <f>"$Lang$单位说明_"&amp;C36</f>
        <v>$Lang$单位说明_临时小兵_2</v>
      </c>
      <c r="J36" s="13">
        <v>1</v>
      </c>
      <c r="K36" s="13">
        <v>1</v>
      </c>
      <c r="L36" s="13">
        <v>3</v>
      </c>
      <c r="M36" s="13">
        <v>1</v>
      </c>
      <c r="N36" s="13">
        <v>1</v>
      </c>
      <c r="O36" s="13">
        <v>1</v>
      </c>
      <c r="P36" s="13" t="s">
        <v>84</v>
      </c>
      <c r="Q36" s="13"/>
      <c r="R36" s="13"/>
      <c r="S36" s="13" t="b">
        <v>0</v>
      </c>
      <c r="T36" s="14" t="s">
        <v>85</v>
      </c>
      <c r="U36" s="14" t="s">
        <v>86</v>
      </c>
      <c r="V36" s="12"/>
      <c r="W36" s="20"/>
      <c r="X36" s="13"/>
      <c r="Y36" s="13"/>
    </row>
    <row r="37" customFormat="1" spans="1:25">
      <c r="B37" s="13">
        <v>11003</v>
      </c>
      <c r="C37" s="20" t="s">
        <v>128</v>
      </c>
      <c r="D37" s="13" t="str">
        <f t="shared" si="0"/>
        <v>$Lang$临时小兵_3</v>
      </c>
      <c r="E37" s="13" t="s">
        <v>79</v>
      </c>
      <c r="F37" s="13" t="s">
        <v>111</v>
      </c>
      <c r="G37" s="13" t="str">
        <f>"单位图标_"&amp;C37</f>
        <v>单位图标_临时小兵_3</v>
      </c>
      <c r="H37" s="13" t="str">
        <f>"单位立绘_"&amp;C37</f>
        <v>单位立绘_临时小兵_3</v>
      </c>
      <c r="I37" s="13" t="str">
        <f>"$Lang$单位说明_"&amp;C37</f>
        <v>$Lang$单位说明_临时小兵_3</v>
      </c>
      <c r="J37" s="13">
        <v>1</v>
      </c>
      <c r="K37" s="13">
        <v>1</v>
      </c>
      <c r="L37" s="13">
        <v>3</v>
      </c>
      <c r="M37" s="13">
        <v>1</v>
      </c>
      <c r="N37" s="13">
        <v>1</v>
      </c>
      <c r="O37" s="13">
        <v>1</v>
      </c>
      <c r="P37" s="13" t="s">
        <v>84</v>
      </c>
      <c r="Q37" s="13"/>
      <c r="R37" s="13"/>
      <c r="S37" s="13" t="b">
        <v>0</v>
      </c>
      <c r="T37" s="14" t="s">
        <v>85</v>
      </c>
      <c r="U37" s="14" t="s">
        <v>86</v>
      </c>
      <c r="V37" s="12"/>
      <c r="W37" s="20"/>
      <c r="X37" s="13"/>
      <c r="Y37" s="13"/>
    </row>
    <row r="38" customFormat="1" spans="1:25">
      <c r="B38" s="13">
        <v>11004</v>
      </c>
      <c r="C38" s="20" t="s">
        <v>129</v>
      </c>
      <c r="D38" s="13" t="str">
        <f t="shared" si="0"/>
        <v>$Lang$临时小兵_4</v>
      </c>
      <c r="E38" s="13" t="s">
        <v>79</v>
      </c>
      <c r="F38" s="13" t="s">
        <v>119</v>
      </c>
      <c r="G38" s="13" t="str">
        <f>"单位图标_"&amp;C38</f>
        <v>单位图标_临时小兵_4</v>
      </c>
      <c r="H38" s="13" t="str">
        <f>"单位立绘_"&amp;C38</f>
        <v>单位立绘_临时小兵_4</v>
      </c>
      <c r="I38" s="13" t="str">
        <f>"$Lang$单位说明_"&amp;C38</f>
        <v>$Lang$单位说明_临时小兵_4</v>
      </c>
      <c r="J38" s="13">
        <v>1</v>
      </c>
      <c r="K38" s="13">
        <v>1</v>
      </c>
      <c r="L38" s="13">
        <v>3</v>
      </c>
      <c r="M38" s="13">
        <v>1</v>
      </c>
      <c r="N38" s="13">
        <v>1</v>
      </c>
      <c r="O38" s="13">
        <v>1</v>
      </c>
      <c r="P38" s="13" t="s">
        <v>84</v>
      </c>
      <c r="Q38" s="13"/>
      <c r="R38" s="13"/>
      <c r="S38" s="13" t="b">
        <v>0</v>
      </c>
      <c r="T38" s="14" t="s">
        <v>85</v>
      </c>
      <c r="U38" s="14" t="s">
        <v>86</v>
      </c>
      <c r="V38" s="12"/>
      <c r="W38" s="20"/>
      <c r="X38" s="13"/>
      <c r="Y38" s="13"/>
    </row>
    <row r="39" spans="1:25">
      <c r="A39"/>
      <c r="B39" s="13">
        <v>21001</v>
      </c>
      <c r="C39" s="13" t="s">
        <v>130</v>
      </c>
      <c r="D39" s="13" t="s">
        <v>131</v>
      </c>
      <c r="E39" s="13" t="s">
        <v>132</v>
      </c>
      <c r="F39" s="13" t="s">
        <v>80</v>
      </c>
      <c r="G39" s="13" t="s">
        <v>133</v>
      </c>
      <c r="H39" s="13" t="s">
        <v>134</v>
      </c>
      <c r="I39" s="13" t="s">
        <v>135</v>
      </c>
      <c r="J39" s="13"/>
      <c r="K39" s="13">
        <v>1</v>
      </c>
      <c r="L39"/>
      <c r="M39"/>
      <c r="N39"/>
      <c r="O39"/>
      <c r="P39" s="13" t="s">
        <v>136</v>
      </c>
      <c r="Q39" s="13" t="s">
        <v>137</v>
      </c>
      <c r="R39" s="13" t="s">
        <v>138</v>
      </c>
      <c r="S39" s="20" t="b">
        <v>0</v>
      </c>
      <c r="T39" s="20" t="s">
        <v>96</v>
      </c>
      <c r="U39" s="20" t="s">
        <v>97</v>
      </c>
      <c r="V39" s="12"/>
      <c r="W39" s="20" t="b">
        <v>1</v>
      </c>
      <c r="X39" s="13">
        <v>4</v>
      </c>
      <c r="Y39" s="13">
        <v>4</v>
      </c>
    </row>
    <row r="40" spans="1:25">
      <c r="B40" s="13">
        <v>21002</v>
      </c>
      <c r="C40" s="13" t="s">
        <v>139</v>
      </c>
      <c r="D40" s="13" t="s">
        <v>140</v>
      </c>
      <c r="E40" s="13" t="s">
        <v>132</v>
      </c>
      <c r="F40" s="13" t="s">
        <v>103</v>
      </c>
      <c r="G40" s="13" t="s">
        <v>141</v>
      </c>
      <c r="H40" s="13" t="s">
        <v>142</v>
      </c>
      <c r="I40" s="13" t="s">
        <v>143</v>
      </c>
      <c r="J40" s="13"/>
      <c r="K40" s="13">
        <v>1</v>
      </c>
      <c r="L40"/>
      <c r="M40"/>
      <c r="N40"/>
      <c r="O40"/>
      <c r="P40" s="13" t="s">
        <v>136</v>
      </c>
      <c r="Q40" s="13" t="s">
        <v>137</v>
      </c>
      <c r="R40" s="13" t="s">
        <v>138</v>
      </c>
      <c r="S40" s="20" t="b">
        <v>0</v>
      </c>
      <c r="T40" s="20" t="s">
        <v>96</v>
      </c>
      <c r="U40" s="20" t="s">
        <v>97</v>
      </c>
      <c r="V40" s="12"/>
      <c r="W40" s="20" t="b">
        <v>1</v>
      </c>
      <c r="X40" s="13">
        <v>4</v>
      </c>
      <c r="Y40" s="13">
        <v>4</v>
      </c>
    </row>
    <row r="41" spans="1:25">
      <c r="B41" s="13">
        <v>21003</v>
      </c>
      <c r="C41" s="13" t="s">
        <v>144</v>
      </c>
      <c r="D41" s="13" t="s">
        <v>145</v>
      </c>
      <c r="E41" s="13" t="s">
        <v>132</v>
      </c>
      <c r="F41" s="13" t="s">
        <v>111</v>
      </c>
      <c r="G41" s="13" t="s">
        <v>146</v>
      </c>
      <c r="H41" s="13" t="s">
        <v>147</v>
      </c>
      <c r="I41" s="13" t="s">
        <v>148</v>
      </c>
      <c r="J41" s="13"/>
      <c r="K41" s="13">
        <v>1</v>
      </c>
      <c r="L41"/>
      <c r="M41"/>
      <c r="N41"/>
      <c r="O41"/>
      <c r="P41" s="13" t="s">
        <v>136</v>
      </c>
      <c r="Q41" s="13" t="s">
        <v>137</v>
      </c>
      <c r="R41" s="13" t="s">
        <v>138</v>
      </c>
      <c r="S41" s="20" t="b">
        <v>0</v>
      </c>
      <c r="T41" s="20" t="s">
        <v>96</v>
      </c>
      <c r="U41" s="20" t="s">
        <v>97</v>
      </c>
      <c r="V41" s="12"/>
      <c r="W41" s="17"/>
      <c r="X41" s="6"/>
    </row>
    <row r="42" spans="1:25">
      <c r="B42" s="13">
        <v>21004</v>
      </c>
      <c r="C42" s="13" t="s">
        <v>149</v>
      </c>
      <c r="D42" s="13" t="s">
        <v>150</v>
      </c>
      <c r="E42" s="13" t="s">
        <v>132</v>
      </c>
      <c r="F42" s="13" t="s">
        <v>119</v>
      </c>
      <c r="G42" s="13" t="s">
        <v>151</v>
      </c>
      <c r="H42" s="13" t="s">
        <v>152</v>
      </c>
      <c r="I42" s="13" t="s">
        <v>153</v>
      </c>
      <c r="J42" s="13"/>
      <c r="K42" s="13">
        <v>1</v>
      </c>
      <c r="L42"/>
      <c r="M42"/>
      <c r="N42"/>
      <c r="O42"/>
      <c r="P42" s="13" t="s">
        <v>136</v>
      </c>
      <c r="Q42" s="13" t="s">
        <v>137</v>
      </c>
      <c r="R42" s="13" t="s">
        <v>138</v>
      </c>
      <c r="S42" s="20" t="b">
        <v>0</v>
      </c>
      <c r="T42" s="20" t="s">
        <v>96</v>
      </c>
      <c r="U42" s="20" t="s">
        <v>97</v>
      </c>
      <c r="V42" s="12"/>
      <c r="W42" s="17"/>
      <c r="X42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$A1:$XFD1048576"/>
    </sheetView>
  </sheetViews>
  <sheetFormatPr defaultColWidth="9" defaultRowHeight="16.5" outlineLevelRow="7" outlineLevelCol="2"/>
  <cols>
    <col min="1" max="1" width="12.4444444444444" style="1" customWidth="1"/>
    <col min="2" max="2" width="7.88888888888889" style="1" customWidth="1"/>
    <col min="3" max="3" width="6.66666666666667" style="1" customWidth="1"/>
    <col min="4" max="16384" width="9" style="1" customWidth="1"/>
  </cols>
  <sheetData>
    <row r="1" spans="1:3">
      <c r="A1" s="3"/>
      <c r="B1" s="3"/>
      <c r="C1" s="3"/>
    </row>
    <row r="2" spans="1:3">
      <c r="A2" s="3"/>
      <c r="B2" s="3"/>
      <c r="C2" s="3"/>
    </row>
    <row r="3" s="2" customFormat="1" spans="1:3">
      <c r="A3" s="4" t="s">
        <v>154</v>
      </c>
      <c r="B3" s="4" t="s">
        <v>155</v>
      </c>
      <c r="C3" s="4" t="s">
        <v>13</v>
      </c>
    </row>
    <row r="4" s="2" customFormat="1" spans="1:3">
      <c r="A4" s="5" t="s">
        <v>156</v>
      </c>
      <c r="B4" s="5" t="s">
        <v>37</v>
      </c>
      <c r="C4" s="5" t="s">
        <v>38</v>
      </c>
    </row>
    <row r="5" s="2" customFormat="1" spans="1:3">
      <c r="A5" s="5" t="s">
        <v>61</v>
      </c>
      <c r="B5" s="5" t="s">
        <v>62</v>
      </c>
      <c r="C5" s="5" t="s">
        <v>63</v>
      </c>
    </row>
    <row r="6" s="2" customFormat="1" spans="1:3">
      <c r="A6" s="5" t="s">
        <v>68</v>
      </c>
      <c r="B6" s="5" t="s">
        <v>69</v>
      </c>
      <c r="C6" s="5" t="s">
        <v>70</v>
      </c>
    </row>
    <row r="7" spans="1:3">
      <c r="B7" s="6">
        <v>1</v>
      </c>
      <c r="C7" s="6" t="s">
        <v>79</v>
      </c>
    </row>
    <row r="8" spans="1:3">
      <c r="B8" s="6">
        <v>2</v>
      </c>
      <c r="C8" s="6" t="s">
        <v>132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35" sqref="A35"/>
    </sheetView>
  </sheetViews>
  <sheetFormatPr defaultColWidth="9" defaultRowHeight="16.5" outlineLevelCol="3"/>
  <cols>
    <col min="1" max="1" width="12.4444444444444" style="1" customWidth="1"/>
    <col min="2" max="2" width="7.88888888888889" style="1" customWidth="1"/>
    <col min="3" max="3" width="6.66666666666667" style="1" customWidth="1"/>
    <col min="4" max="4" width="22" style="1" customWidth="1"/>
    <col min="5" max="16384" width="9" style="1" customWidth="1"/>
  </cols>
  <sheetData>
    <row r="1" s="1" customFormat="1" spans="1:4">
      <c r="A1" s="3"/>
      <c r="B1" s="3"/>
      <c r="C1" s="3"/>
      <c r="D1" s="3" t="s">
        <v>157</v>
      </c>
    </row>
    <row r="2" s="1" customFormat="1" spans="1:4">
      <c r="A2" s="3"/>
      <c r="B2" s="3"/>
      <c r="C2" s="3"/>
    </row>
    <row r="3" s="2" customFormat="1" spans="1:4">
      <c r="A3" s="4" t="s">
        <v>158</v>
      </c>
      <c r="B3" s="4" t="s">
        <v>159</v>
      </c>
      <c r="C3" s="4" t="s">
        <v>13</v>
      </c>
      <c r="D3" s="4" t="s">
        <v>160</v>
      </c>
    </row>
    <row r="4" s="2" customFormat="1" spans="1:4">
      <c r="A4" s="5" t="s">
        <v>161</v>
      </c>
      <c r="B4" s="5" t="s">
        <v>37</v>
      </c>
      <c r="C4" s="5" t="s">
        <v>38</v>
      </c>
      <c r="D4" s="5" t="s">
        <v>42</v>
      </c>
    </row>
    <row r="5" s="2" customFormat="1" spans="1:4">
      <c r="A5" s="5" t="s">
        <v>61</v>
      </c>
      <c r="B5" s="5" t="s">
        <v>62</v>
      </c>
      <c r="C5" s="5" t="s">
        <v>63</v>
      </c>
      <c r="D5" s="5" t="s">
        <v>63</v>
      </c>
    </row>
    <row r="6" s="2" customFormat="1" spans="1:4">
      <c r="A6" s="5" t="s">
        <v>68</v>
      </c>
      <c r="B6" s="5" t="s">
        <v>69</v>
      </c>
      <c r="C6" s="5" t="s">
        <v>70</v>
      </c>
      <c r="D6" s="5" t="s">
        <v>73</v>
      </c>
    </row>
    <row r="7" s="1" customFormat="1" spans="1:4">
      <c r="B7" s="6">
        <v>1</v>
      </c>
      <c r="C7" s="6" t="s">
        <v>80</v>
      </c>
      <c r="D7" s="6" t="s">
        <v>162</v>
      </c>
    </row>
    <row r="8" s="1" customFormat="1" spans="1:4">
      <c r="B8" s="6">
        <v>2</v>
      </c>
      <c r="C8" s="6" t="s">
        <v>103</v>
      </c>
      <c r="D8" s="6" t="s">
        <v>163</v>
      </c>
    </row>
    <row r="9" spans="1:4">
      <c r="B9" s="1">
        <v>3</v>
      </c>
      <c r="C9" s="1" t="s">
        <v>111</v>
      </c>
      <c r="D9" s="6" t="s">
        <v>164</v>
      </c>
    </row>
    <row r="10" spans="1:4">
      <c r="B10" s="1">
        <v>4</v>
      </c>
      <c r="C10" s="1" t="s">
        <v>119</v>
      </c>
      <c r="D10" s="6" t="s">
        <v>165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单位表(UnitData)</vt:lpstr>
      <vt:lpstr>单位类型表(UnitTypeData)</vt:lpstr>
      <vt:lpstr>单位阵营表(FactionData)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2026-09-10T03:15:00Z</dcterms:created>
  <dcterms:modified xsi:type="dcterms:W3CDTF">2026-09-29T08:24:20Z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6BD53D1808BA45E98FB50533FA2A41F7_12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